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ONE" sheetId="1" r:id="rId5"/>
    <sheet state="visible" name="Strat Por" sheetId="2" r:id="rId6"/>
    <sheet state="visible" name="Strat Dif" sheetId="3" r:id="rId7"/>
    <sheet state="visible" name="Strat Cen" sheetId="4" r:id="rId8"/>
    <sheet state="visible" name="Strat Att" sheetId="5" r:id="rId9"/>
    <sheet state="visible" name="Squadra" sheetId="6" r:id="rId10"/>
  </sheets>
  <definedNames>
    <definedName hidden="1" localSheetId="0" name="Z_681DD0F2_B6C4_4924_81ED_FACFD8E11C2A_.wvu.FilterData">LISTONE!$A$2:$J$533</definedName>
    <definedName hidden="1" localSheetId="0" name="Z_02DFB7A0_E13B_46C8_A002_8243B4F4168C_.wvu.FilterData">LISTONE!$A$2:$J$533</definedName>
    <definedName hidden="1" localSheetId="0" name="Z_7A7A31E3_1CDD_426B_8E21_942B2FE83286_.wvu.FilterData">LISTONE!$A$2:$J$533</definedName>
    <definedName hidden="1" localSheetId="0" name="Z_955270E3_B304_4098_922A_69191412B143_.wvu.FilterData">LISTONE!$A$2:$J$533</definedName>
  </definedNames>
  <calcPr/>
  <customWorkbookViews>
    <customWorkbookView activeSheetId="0" maximized="1" windowHeight="0" windowWidth="0" guid="{681DD0F2-B6C4-4924-81ED-FACFD8E11C2A}" name="Solo Preferiti ⭐ (P &gt; D &gt; C &gt; A)"/>
    <customWorkbookView activeSheetId="0" maximized="1" windowHeight="0" windowWidth="0" guid="{02DFB7A0-E13B-46C8-A002-8243B4F4168C}" name="Per Nome (P &gt; D &gt; C &gt; A)"/>
    <customWorkbookView activeSheetId="0" maximized="1" windowHeight="0" windowWidth="0" guid="{7A7A31E3-1CDD-426B-8E21-942B2FE83286}" name="Per Fascia (P &gt; D &gt; C &gt; A)"/>
    <customWorkbookView activeSheetId="0" maximized="1" windowHeight="0" windowWidth="0" guid="{955270E3-B304-4098-922A-69191412B143}" name="Per % Budget / FVM (P &gt; D &gt; C &gt; A)"/>
  </customWorkbookViews>
</workbook>
</file>

<file path=xl/sharedStrings.xml><?xml version="1.0" encoding="utf-8"?>
<sst xmlns="http://schemas.openxmlformats.org/spreadsheetml/2006/main" count="1911" uniqueCount="636">
  <si>
    <t>Quotazioni Fantacalcio Stagione 2026 27</t>
  </si>
  <si>
    <t>Budget Iniziale</t>
  </si>
  <si>
    <t>Id</t>
  </si>
  <si>
    <t>R</t>
  </si>
  <si>
    <t>Nome</t>
  </si>
  <si>
    <t>Squadra</t>
  </si>
  <si>
    <t>FVM</t>
  </si>
  <si>
    <t>% Budget</t>
  </si>
  <si>
    <t>Prezzo Obiettivo</t>
  </si>
  <si>
    <t>Note</t>
  </si>
  <si>
    <t>Fascia</t>
  </si>
  <si>
    <t>⭐ Preferito</t>
  </si>
  <si>
    <t>Priorità Fascia</t>
  </si>
  <si>
    <t>Priorità Ruolo</t>
  </si>
  <si>
    <t>P</t>
  </si>
  <si>
    <t>Svilar</t>
  </si>
  <si>
    <t>Roma</t>
  </si>
  <si>
    <t>TOP</t>
  </si>
  <si>
    <t>Martinez Jo.</t>
  </si>
  <si>
    <t>Inter</t>
  </si>
  <si>
    <t>Vicario</t>
  </si>
  <si>
    <t>Juventus</t>
  </si>
  <si>
    <t>Maignan</t>
  </si>
  <si>
    <t>Milan</t>
  </si>
  <si>
    <t>Carnesecchi</t>
  </si>
  <si>
    <t>Atalanta</t>
  </si>
  <si>
    <t>Meret</t>
  </si>
  <si>
    <t>Napoli</t>
  </si>
  <si>
    <t>Butez</t>
  </si>
  <si>
    <t>Como</t>
  </si>
  <si>
    <t>Mandas</t>
  </si>
  <si>
    <t>Lazio</t>
  </si>
  <si>
    <t>SEMITOP</t>
  </si>
  <si>
    <t>⭐</t>
  </si>
  <si>
    <t>De Gea</t>
  </si>
  <si>
    <t>Fiorentina</t>
  </si>
  <si>
    <t>Skorupski</t>
  </si>
  <si>
    <t>Bologna</t>
  </si>
  <si>
    <t>Okoye</t>
  </si>
  <si>
    <t>Udinese</t>
  </si>
  <si>
    <t>Falcone</t>
  </si>
  <si>
    <t>Lecce</t>
  </si>
  <si>
    <t>Caprile</t>
  </si>
  <si>
    <t>Cagliari</t>
  </si>
  <si>
    <t>Milinkovic-Savic V.</t>
  </si>
  <si>
    <t>TERZO-SLOT</t>
  </si>
  <si>
    <t>Bijlow</t>
  </si>
  <si>
    <t>Genoa</t>
  </si>
  <si>
    <t>Provedel</t>
  </si>
  <si>
    <t>Corvi</t>
  </si>
  <si>
    <t>Parma</t>
  </si>
  <si>
    <t>Tornqvist</t>
  </si>
  <si>
    <t>Monza</t>
  </si>
  <si>
    <t>Stankovic F.</t>
  </si>
  <si>
    <t>Venezia</t>
  </si>
  <si>
    <t>Perri</t>
  </si>
  <si>
    <t>Torino</t>
  </si>
  <si>
    <t>Mascardi</t>
  </si>
  <si>
    <t>Muric</t>
  </si>
  <si>
    <t>Sassuolo</t>
  </si>
  <si>
    <t>Sanchez Ro.</t>
  </si>
  <si>
    <t>Daffara</t>
  </si>
  <si>
    <t>Palmisani</t>
  </si>
  <si>
    <t>Frosinone</t>
  </si>
  <si>
    <t>Thiam</t>
  </si>
  <si>
    <t>Desplanches</t>
  </si>
  <si>
    <t>Sportiello</t>
  </si>
  <si>
    <t>Happonen</t>
  </si>
  <si>
    <t>Pessina Mas.</t>
  </si>
  <si>
    <t>Sherri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</si>
  <si>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</si>
  <si>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</si>
  <si>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</si>
  <si>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</si>
  <si>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</si>
  <si>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</si>
  <si>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</si>
  <si>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</si>
  <si>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</si>
  <si>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</si>
  <si>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</si>
  <si>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</si>
  <si>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</si>
  <si>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</si>
  <si>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</si>
  <si>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</si>
  <si>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</si>
  <si>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</si>
  <si>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Siviero</t>
  </si>
  <si>
    <t>Padelli</t>
  </si>
  <si>
    <t>Piana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</si>
  <si>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</si>
  <si>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</si>
  <si>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</si>
  <si>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</si>
  <si>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</si>
  <si>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</si>
  <si>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</si>
  <si>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</si>
  <si>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</si>
  <si>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</si>
  <si>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</si>
  <si>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</si>
  <si>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</si>
  <si>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Dimarco</t>
  </si>
  <si>
    <t>Wesley</t>
  </si>
  <si>
    <t>Bremer</t>
  </si>
  <si>
    <t>Molina N.</t>
  </si>
  <si>
    <t>Mancini</t>
  </si>
  <si>
    <t>Bastoni</t>
  </si>
  <si>
    <t>Pavlovic</t>
  </si>
  <si>
    <t>Solet</t>
  </si>
  <si>
    <t>Akanji</t>
  </si>
  <si>
    <t>Rrahmani</t>
  </si>
  <si>
    <t>Kalulu</t>
  </si>
  <si>
    <t>N'Dicka</t>
  </si>
  <si>
    <t>Di Lorenzo</t>
  </si>
  <si>
    <t>Ramon</t>
  </si>
  <si>
    <t>Bisseck</t>
  </si>
  <si>
    <t>Spence</t>
  </si>
  <si>
    <t>Gila</t>
  </si>
  <si>
    <t>Stones</t>
  </si>
  <si>
    <t>Ostigard</t>
  </si>
  <si>
    <t>Hermoso</t>
  </si>
  <si>
    <t>Chalobah T.</t>
  </si>
  <si>
    <t>Vasquez</t>
  </si>
  <si>
    <t>SCOMMESSE</t>
  </si>
  <si>
    <t>Vojvoda</t>
  </si>
  <si>
    <t>Kamara H.</t>
  </si>
  <si>
    <t>Zappacosta</t>
  </si>
  <si>
    <t>Scalvini</t>
  </si>
  <si>
    <t>Miranda J.</t>
  </si>
  <si>
    <t>TITOLARI</t>
  </si>
  <si>
    <t>Valle</t>
  </si>
  <si>
    <t>Cambiaso</t>
  </si>
  <si>
    <t>Spinazzola</t>
  </si>
  <si>
    <t>Mina</t>
  </si>
  <si>
    <t>Dragusin</t>
  </si>
  <si>
    <t>Jimenez A.</t>
  </si>
  <si>
    <t>Tavares N.</t>
  </si>
  <si>
    <t>Belghali</t>
  </si>
  <si>
    <t>Carlos Augusto</t>
  </si>
  <si>
    <t>Marusic</t>
  </si>
  <si>
    <t>Kristensen T.</t>
  </si>
  <si>
    <t>Valdepenas</t>
  </si>
  <si>
    <t>QUARTO-SLOT</t>
  </si>
  <si>
    <t>Zortea</t>
  </si>
  <si>
    <t>Idzes</t>
  </si>
  <si>
    <t>Badiashile</t>
  </si>
  <si>
    <t>Sutalo J.</t>
  </si>
  <si>
    <t>Bernasconi</t>
  </si>
  <si>
    <t>Doekhi</t>
  </si>
  <si>
    <t>Valeri</t>
  </si>
  <si>
    <t>Lucumì</t>
  </si>
  <si>
    <t>Bellanova</t>
  </si>
  <si>
    <t>Lulli</t>
  </si>
  <si>
    <t>Delprato</t>
  </si>
  <si>
    <t>Obert</t>
  </si>
  <si>
    <t>Bracaglia</t>
  </si>
  <si>
    <t>Gabbia</t>
  </si>
  <si>
    <t>Mangas</t>
  </si>
  <si>
    <t>Heggem</t>
  </si>
  <si>
    <t>Buongiorno</t>
  </si>
  <si>
    <t>Caleta-Car</t>
  </si>
  <si>
    <t>Coco</t>
  </si>
  <si>
    <t>Ismajli</t>
  </si>
  <si>
    <t>Holm</t>
  </si>
  <si>
    <t>Kaiki</t>
  </si>
  <si>
    <t>Monterisi</t>
  </si>
  <si>
    <t>Pavard</t>
  </si>
  <si>
    <t>Pedraza</t>
  </si>
  <si>
    <t>Obrador</t>
  </si>
  <si>
    <t>Zè Pedro</t>
  </si>
  <si>
    <t>Kempf</t>
  </si>
  <si>
    <t>Calvani</t>
  </si>
  <si>
    <t>Olivera</t>
  </si>
  <si>
    <t>Bella-Kotchap</t>
  </si>
  <si>
    <t>Rodriguez Ju.</t>
  </si>
  <si>
    <t>Provstgaard</t>
  </si>
  <si>
    <t>Rensch</t>
  </si>
  <si>
    <t>Estupinan</t>
  </si>
  <si>
    <t>Kouadio</t>
  </si>
  <si>
    <t>Troilo</t>
  </si>
  <si>
    <t>Tiago Gabriel</t>
  </si>
  <si>
    <t>Hien</t>
  </si>
  <si>
    <t>Viery</t>
  </si>
  <si>
    <t>Veiga D.</t>
  </si>
  <si>
    <t>Gallo</t>
  </si>
  <si>
    <t>Beukema</t>
  </si>
  <si>
    <t>Leysen F.</t>
  </si>
  <si>
    <t>Balerdi</t>
  </si>
  <si>
    <t>Kelly L.</t>
  </si>
  <si>
    <t>Gaspar K.</t>
  </si>
  <si>
    <t>Correia T.</t>
  </si>
  <si>
    <t>Patterson</t>
  </si>
  <si>
    <t>Rodriguez R.</t>
  </si>
  <si>
    <t>Kossounou</t>
  </si>
  <si>
    <t>Siebert</t>
  </si>
  <si>
    <t>Birindelli</t>
  </si>
  <si>
    <t>Comert</t>
  </si>
  <si>
    <t>Kabasele</t>
  </si>
  <si>
    <t>Hainaut</t>
  </si>
  <si>
    <t>Helland</t>
  </si>
  <si>
    <t>Joao Mario</t>
  </si>
  <si>
    <t>Lucchesi</t>
  </si>
  <si>
    <t>Palma</t>
  </si>
  <si>
    <t>Van Der Brempt</t>
  </si>
  <si>
    <t>Dodò</t>
  </si>
  <si>
    <t>Celik</t>
  </si>
  <si>
    <t>Bartesaghi</t>
  </si>
  <si>
    <t>Koulierakis</t>
  </si>
  <si>
    <t>Couto</t>
  </si>
  <si>
    <t>Theate</t>
  </si>
  <si>
    <t>Oyono A.</t>
  </si>
  <si>
    <t>Ghilardi</t>
  </si>
  <si>
    <t>Doig</t>
  </si>
  <si>
    <t>Haps</t>
  </si>
  <si>
    <t>Vitik</t>
  </si>
  <si>
    <t>Smolcic I.</t>
  </si>
  <si>
    <t>Parisi</t>
  </si>
  <si>
    <t>Mitaj</t>
  </si>
  <si>
    <t>Gatti</t>
  </si>
  <si>
    <t>Floriani Mussolini</t>
  </si>
  <si>
    <t>Valenti</t>
  </si>
  <si>
    <t>Walukiewicz</t>
  </si>
  <si>
    <t>Bertola</t>
  </si>
  <si>
    <t>Zanoli</t>
  </si>
  <si>
    <t>Juan Jesus</t>
  </si>
  <si>
    <t>Ehizibue</t>
  </si>
  <si>
    <t>Ranieri L.</t>
  </si>
  <si>
    <t>Britschgi</t>
  </si>
  <si>
    <t>Halhal</t>
  </si>
  <si>
    <t>Schingtienne</t>
  </si>
  <si>
    <t>Drameh</t>
  </si>
  <si>
    <t>Abankwah</t>
  </si>
  <si>
    <t>Mazzocchi</t>
  </si>
  <si>
    <t>Kolasinac</t>
  </si>
  <si>
    <t>Tomori</t>
  </si>
  <si>
    <t>Kofler</t>
  </si>
  <si>
    <t>Pongracic</t>
  </si>
  <si>
    <t>Cittadini</t>
  </si>
  <si>
    <t>Arizala</t>
  </si>
  <si>
    <t>Terzic</t>
  </si>
  <si>
    <t>Carboni A.</t>
  </si>
  <si>
    <t>Odenthal</t>
  </si>
  <si>
    <t>Tchato</t>
  </si>
  <si>
    <t>Kambwala</t>
  </si>
  <si>
    <t>Marin R.</t>
  </si>
  <si>
    <t>Ndiaye</t>
  </si>
  <si>
    <t>De Winter</t>
  </si>
  <si>
    <t>Moreno M.</t>
  </si>
  <si>
    <t>Akpoguma</t>
  </si>
  <si>
    <t>Candè</t>
  </si>
  <si>
    <t>Sverko</t>
  </si>
  <si>
    <t>Franjic</t>
  </si>
  <si>
    <t>Alhassane</t>
  </si>
  <si>
    <t>Pellegrini Lu.</t>
  </si>
  <si>
    <t>Casale</t>
  </si>
  <si>
    <t>Ebosse</t>
  </si>
  <si>
    <t>Otoa</t>
  </si>
  <si>
    <t>Sabelli</t>
  </si>
  <si>
    <t>Lazzari</t>
  </si>
  <si>
    <t>Ndaba</t>
  </si>
  <si>
    <t>Biraghi</t>
  </si>
  <si>
    <t>Aurelio</t>
  </si>
  <si>
    <t>Goglichidze</t>
  </si>
  <si>
    <t>Idrissi R.</t>
  </si>
  <si>
    <t>Puczka</t>
  </si>
  <si>
    <t>Jean</t>
  </si>
  <si>
    <t>Diawara S.</t>
  </si>
  <si>
    <t>Bakoune</t>
  </si>
  <si>
    <t>Sagrado</t>
  </si>
  <si>
    <t>Cinquegrano</t>
  </si>
  <si>
    <t>Terracciano F.</t>
  </si>
  <si>
    <t>De Silvestri</t>
  </si>
  <si>
    <t>Rugani</t>
  </si>
  <si>
    <t>Cabal</t>
  </si>
  <si>
    <t>Marianucci</t>
  </si>
  <si>
    <t>Carboni F.</t>
  </si>
  <si>
    <t>Comuzzo</t>
  </si>
  <si>
    <t>Diego Carlos</t>
  </si>
  <si>
    <t>Marcandalli</t>
  </si>
  <si>
    <t>Fortini</t>
  </si>
  <si>
    <t>Sugawara</t>
  </si>
  <si>
    <t>Favasuli</t>
  </si>
  <si>
    <t>Drobnic</t>
  </si>
  <si>
    <t>Goldaniga</t>
  </si>
  <si>
    <t>Amey</t>
  </si>
  <si>
    <t>Patric</t>
  </si>
  <si>
    <t>Antov</t>
  </si>
  <si>
    <t>Ziolkowski</t>
  </si>
  <si>
    <t>Pieragnolo</t>
  </si>
  <si>
    <t>Gomes</t>
  </si>
  <si>
    <t>Omar Fayed</t>
  </si>
  <si>
    <t>Maye</t>
  </si>
  <si>
    <t>Dembelè A.</t>
  </si>
  <si>
    <t>C</t>
  </si>
  <si>
    <t>Paz N.</t>
  </si>
  <si>
    <t>Calhanoglu</t>
  </si>
  <si>
    <t>McTominay</t>
  </si>
  <si>
    <t>Orsolini</t>
  </si>
  <si>
    <t>Pulisic</t>
  </si>
  <si>
    <t>Baturina</t>
  </si>
  <si>
    <t>Mora</t>
  </si>
  <si>
    <t>Rabiot</t>
  </si>
  <si>
    <t>De Bruyne</t>
  </si>
  <si>
    <t>Frattesi</t>
  </si>
  <si>
    <t>Da Cunha</t>
  </si>
  <si>
    <t>Zaniolo</t>
  </si>
  <si>
    <t>Atta</t>
  </si>
  <si>
    <t>Barella</t>
  </si>
  <si>
    <t>Zaccagni</t>
  </si>
  <si>
    <t>Conceicao</t>
  </si>
  <si>
    <t>Vlasic</t>
  </si>
  <si>
    <t>Zielinski</t>
  </si>
  <si>
    <t>Alajbegovic</t>
  </si>
  <si>
    <t>Mastantuono</t>
  </si>
  <si>
    <t>Jones C.</t>
  </si>
  <si>
    <t>Kessiè</t>
  </si>
  <si>
    <t>Modric</t>
  </si>
  <si>
    <t>Gonzalez N.</t>
  </si>
  <si>
    <t>Zambo Anguissa</t>
  </si>
  <si>
    <t>Konè M.</t>
  </si>
  <si>
    <t>McKennie</t>
  </si>
  <si>
    <t>Taylor K.</t>
  </si>
  <si>
    <t>Ederson D.S.</t>
  </si>
  <si>
    <t>Gudmundsson A.</t>
  </si>
  <si>
    <t>Ekkelenkamp</t>
  </si>
  <si>
    <t>Rowe</t>
  </si>
  <si>
    <t>Diouf</t>
  </si>
  <si>
    <t>Thorstvedt</t>
  </si>
  <si>
    <t>Politano</t>
  </si>
  <si>
    <t>Samardzic</t>
  </si>
  <si>
    <t>Goncalves P.</t>
  </si>
  <si>
    <t>Saelemaekers</t>
  </si>
  <si>
    <t>Moreira</t>
  </si>
  <si>
    <t>Vergara</t>
  </si>
  <si>
    <t>Perrone</t>
  </si>
  <si>
    <t>Locatelli</t>
  </si>
  <si>
    <t>Bernabè</t>
  </si>
  <si>
    <t>Rodriguez Je.</t>
  </si>
  <si>
    <t>Gaetano</t>
  </si>
  <si>
    <t>Milla</t>
  </si>
  <si>
    <t>Baldanzi</t>
  </si>
  <si>
    <t>Cristante</t>
  </si>
  <si>
    <t>Njie</t>
  </si>
  <si>
    <t>Casadei</t>
  </si>
  <si>
    <t>Calò</t>
  </si>
  <si>
    <t>Thuram K.</t>
  </si>
  <si>
    <t>Cancellieri</t>
  </si>
  <si>
    <t>Volpato</t>
  </si>
  <si>
    <t>Schmid</t>
  </si>
  <si>
    <t>Hutchinson</t>
  </si>
  <si>
    <t>Sarr P.</t>
  </si>
  <si>
    <t>El Shaarawy</t>
  </si>
  <si>
    <t>Mandragora</t>
  </si>
  <si>
    <t>Lobotka</t>
  </si>
  <si>
    <t>Ferguson</t>
  </si>
  <si>
    <t>Monteiro J.</t>
  </si>
  <si>
    <t>Fazzini</t>
  </si>
  <si>
    <t>Cacciamani</t>
  </si>
  <si>
    <t>Cissè A.</t>
  </si>
  <si>
    <t>Sucic P.</t>
  </si>
  <si>
    <t>Isaksen</t>
  </si>
  <si>
    <t>Pasalic</t>
  </si>
  <si>
    <t>Chukwueze</t>
  </si>
  <si>
    <t>Romano</t>
  </si>
  <si>
    <t>Ndour</t>
  </si>
  <si>
    <t>Elmas</t>
  </si>
  <si>
    <t>Liberali</t>
  </si>
  <si>
    <t>Pellegrini Lo.</t>
  </si>
  <si>
    <t>Konè I.</t>
  </si>
  <si>
    <t>Mbangula</t>
  </si>
  <si>
    <t>Fagioli</t>
  </si>
  <si>
    <t>Karlstrom</t>
  </si>
  <si>
    <t>Braganca</t>
  </si>
  <si>
    <t>Zalewski</t>
  </si>
  <si>
    <t>Frendrup</t>
  </si>
  <si>
    <t>Pisilli</t>
  </si>
  <si>
    <t>Oulai</t>
  </si>
  <si>
    <t>Pierotti</t>
  </si>
  <si>
    <t>Basic</t>
  </si>
  <si>
    <t>Fitz-Jim</t>
  </si>
  <si>
    <t>Odgaard</t>
  </si>
  <si>
    <t>Rovella</t>
  </si>
  <si>
    <t>Coulibaly L.</t>
  </si>
  <si>
    <t>Unai Gomez</t>
  </si>
  <si>
    <t>Caqueret</t>
  </si>
  <si>
    <t>Ellertsson</t>
  </si>
  <si>
    <t>Loftus-Cheek</t>
  </si>
  <si>
    <t>Folorunsho</t>
  </si>
  <si>
    <t>Colpani</t>
  </si>
  <si>
    <t>Koopmeiners</t>
  </si>
  <si>
    <t>Sow</t>
  </si>
  <si>
    <t>Winks</t>
  </si>
  <si>
    <t>Pessina</t>
  </si>
  <si>
    <t>Matic</t>
  </si>
  <si>
    <t>Piotrowski</t>
  </si>
  <si>
    <t>Keita M.</t>
  </si>
  <si>
    <t>Perez K.</t>
  </si>
  <si>
    <t>Douglas Luiz</t>
  </si>
  <si>
    <t>Musah</t>
  </si>
  <si>
    <t>Adopo</t>
  </si>
  <si>
    <t>Bakola</t>
  </si>
  <si>
    <t>Tourè I.</t>
  </si>
  <si>
    <t>Dele-Bashiru</t>
  </si>
  <si>
    <t>Jashari</t>
  </si>
  <si>
    <t>Busio</t>
  </si>
  <si>
    <t>Moro N.</t>
  </si>
  <si>
    <t>Fini</t>
  </si>
  <si>
    <t>Akinsanmiro</t>
  </si>
  <si>
    <t>GESTIONE ASTA &amp; ROSA CLASSIC 2026/2027</t>
  </si>
  <si>
    <t>Pobega</t>
  </si>
  <si>
    <t>Zerbin</t>
  </si>
  <si>
    <t>BUDGET INIZIALE</t>
  </si>
  <si>
    <t>Oristanio</t>
  </si>
  <si>
    <t>TOTALE SPESO</t>
  </si>
  <si>
    <t>BUDGET RESIDUO</t>
  </si>
  <si>
    <t>SLOT RIMANENTI</t>
  </si>
  <si>
    <t>Ruolo</t>
  </si>
  <si>
    <t>Meichtry</t>
  </si>
  <si>
    <t>Slot Totali</t>
  </si>
  <si>
    <t>Acquistati</t>
  </si>
  <si>
    <t>Rimanenti</t>
  </si>
  <si>
    <t>Budget</t>
  </si>
  <si>
    <t>Budget disponibile</t>
  </si>
  <si>
    <t>Luis Henrique</t>
  </si>
  <si>
    <t>Gineitis</t>
  </si>
  <si>
    <t>Sohm</t>
  </si>
  <si>
    <t>Dominguez B.</t>
  </si>
  <si>
    <t>Cichella</t>
  </si>
  <si>
    <t>Amorim</t>
  </si>
  <si>
    <t>Traorè Hj.</t>
  </si>
  <si>
    <t>Cataldi</t>
  </si>
  <si>
    <t>Ngom</t>
  </si>
  <si>
    <t>Berisha M.</t>
  </si>
  <si>
    <t>da LISTONE</t>
  </si>
  <si>
    <t>Ricci S.</t>
  </si>
  <si>
    <t>spesa acquisti</t>
  </si>
  <si>
    <t>crediti liberi</t>
  </si>
  <si>
    <t>su 25 slot</t>
  </si>
  <si>
    <t>Almqvist</t>
  </si>
  <si>
    <t>Miller L.</t>
  </si>
  <si>
    <t>Massolin</t>
  </si>
  <si>
    <t>Brescianini</t>
  </si>
  <si>
    <t>Gorter</t>
  </si>
  <si>
    <t>A</t>
  </si>
  <si>
    <t>Diallo O.</t>
  </si>
  <si>
    <t>Fadera</t>
  </si>
  <si>
    <t>Totale</t>
  </si>
  <si>
    <t>Mout</t>
  </si>
  <si>
    <t>Bernardeschi</t>
  </si>
  <si>
    <t>Cambiaghi</t>
  </si>
  <si>
    <t>Nicolussi Caviglia</t>
  </si>
  <si>
    <t>TABELLA ACQUISTI ASTA (ROSA 25 GIOCATORI)</t>
  </si>
  <si>
    <t>Adzic</t>
  </si>
  <si>
    <t>Calciatore</t>
  </si>
  <si>
    <t>Amondarain</t>
  </si>
  <si>
    <t>Val. Acquisto</t>
  </si>
  <si>
    <t>De Roon</t>
  </si>
  <si>
    <t>Addai</t>
  </si>
  <si>
    <t>DE GEA</t>
  </si>
  <si>
    <t>FIORENTINA</t>
  </si>
  <si>
    <t>Gandelman</t>
  </si>
  <si>
    <t>OKOYE</t>
  </si>
  <si>
    <t>UDINESE</t>
  </si>
  <si>
    <t>-&gt; MAIGNAN</t>
  </si>
  <si>
    <t>PERRI</t>
  </si>
  <si>
    <t>Grillitsch</t>
  </si>
  <si>
    <t>TORINO</t>
  </si>
  <si>
    <t>BASTONI</t>
  </si>
  <si>
    <t>INTER</t>
  </si>
  <si>
    <t>Gilmour</t>
  </si>
  <si>
    <t>RAMON</t>
  </si>
  <si>
    <t>COMO</t>
  </si>
  <si>
    <t>NDIKA</t>
  </si>
  <si>
    <t>Ordonez C.</t>
  </si>
  <si>
    <t>ROMA</t>
  </si>
  <si>
    <t>MANCINI</t>
  </si>
  <si>
    <t>El Azzouzi O.</t>
  </si>
  <si>
    <t>VALERI</t>
  </si>
  <si>
    <t>PARMA</t>
  </si>
  <si>
    <t>SOLET</t>
  </si>
  <si>
    <t>Ilic</t>
  </si>
  <si>
    <t>MUSSOLINI</t>
  </si>
  <si>
    <t>LAZIO</t>
  </si>
  <si>
    <t>Fabbian</t>
  </si>
  <si>
    <t>FORTINI</t>
  </si>
  <si>
    <t>PAZ</t>
  </si>
  <si>
    <t>Messias</t>
  </si>
  <si>
    <t>MORA</t>
  </si>
  <si>
    <t>Mkhitaryan</t>
  </si>
  <si>
    <t>GONCALVES</t>
  </si>
  <si>
    <t>ADZIC</t>
  </si>
  <si>
    <t>SASSUOLO</t>
  </si>
  <si>
    <t>Ilkhan</t>
  </si>
  <si>
    <t>ALJIABEGOVIC</t>
  </si>
  <si>
    <t>JUVENTUS</t>
  </si>
  <si>
    <t>MBANGULA</t>
  </si>
  <si>
    <t>BOLOGNA</t>
  </si>
  <si>
    <t>Deiola</t>
  </si>
  <si>
    <t>BERNARDESCHI</t>
  </si>
  <si>
    <t>NICO GONZALEZ</t>
  </si>
  <si>
    <t>Masini</t>
  </si>
  <si>
    <t>KOLO MUANI</t>
  </si>
  <si>
    <t>CASTRO</t>
  </si>
  <si>
    <t>Gagliardini</t>
  </si>
  <si>
    <t>YILDIZ</t>
  </si>
  <si>
    <t>GHEDJEMIS</t>
  </si>
  <si>
    <t>FROSINONE</t>
  </si>
  <si>
    <t>Fernandez T.</t>
  </si>
  <si>
    <t>SOULE</t>
  </si>
  <si>
    <t>DAVIS</t>
  </si>
  <si>
    <t>-&gt; ADAMS</t>
  </si>
  <si>
    <t>Felici</t>
  </si>
  <si>
    <t>Sulemana I.</t>
  </si>
  <si>
    <t>Gelli F.</t>
  </si>
  <si>
    <t>Stankovic A.</t>
  </si>
  <si>
    <t>Maleh</t>
  </si>
  <si>
    <t>Ciurria</t>
  </si>
  <si>
    <t>Chakvetadze</t>
  </si>
  <si>
    <t>Aboukhlal</t>
  </si>
  <si>
    <t>Hasa</t>
  </si>
  <si>
    <t>Boloca</t>
  </si>
  <si>
    <t>Lipani</t>
  </si>
  <si>
    <t>Jovanovic</t>
  </si>
  <si>
    <t>Przyborek</t>
  </si>
  <si>
    <t>Colombo L.</t>
  </si>
  <si>
    <t>Helgason</t>
  </si>
  <si>
    <t>Venturino</t>
  </si>
  <si>
    <t>Belahyane</t>
  </si>
  <si>
    <t>Cremaschi</t>
  </si>
  <si>
    <t>Zarraga</t>
  </si>
  <si>
    <t>Duncan</t>
  </si>
  <si>
    <t>Kone B.</t>
  </si>
  <si>
    <t>Zhegrova</t>
  </si>
  <si>
    <t>Forson O.</t>
  </si>
  <si>
    <t>Foe Ondoa</t>
  </si>
  <si>
    <t>Liteta</t>
  </si>
  <si>
    <t>Lahdo</t>
  </si>
  <si>
    <t>El Azzouzi A.</t>
  </si>
  <si>
    <t>Kaba</t>
  </si>
  <si>
    <t>Fofana Sa.</t>
  </si>
  <si>
    <t>Dagasso</t>
  </si>
  <si>
    <t>Laerke</t>
  </si>
  <si>
    <t>Comotto</t>
  </si>
  <si>
    <t>Ciervo</t>
  </si>
  <si>
    <t>Sierro</t>
  </si>
  <si>
    <t>Malen</t>
  </si>
  <si>
    <t>Martinez L.</t>
  </si>
  <si>
    <t>Hojlund</t>
  </si>
  <si>
    <t>Thuram</t>
  </si>
  <si>
    <t>Ramos G.</t>
  </si>
  <si>
    <t>Douvikas</t>
  </si>
  <si>
    <t>Kean</t>
  </si>
  <si>
    <t>Kolo Muani</t>
  </si>
  <si>
    <t>Woltemade</t>
  </si>
  <si>
    <t>Scamacca</t>
  </si>
  <si>
    <t>Davis K.</t>
  </si>
  <si>
    <t>Berardi</t>
  </si>
  <si>
    <t>Esposito F.P.</t>
  </si>
  <si>
    <t>Yildiz</t>
  </si>
  <si>
    <t>Dybala</t>
  </si>
  <si>
    <t>Krstovic</t>
  </si>
  <si>
    <t>De Ketelaere</t>
  </si>
  <si>
    <t>Laurientè</t>
  </si>
  <si>
    <t>Simeone</t>
  </si>
  <si>
    <t>Raspadori</t>
  </si>
  <si>
    <t>Castro S.</t>
  </si>
  <si>
    <t>Santos A.</t>
  </si>
  <si>
    <t>Pinamonti</t>
  </si>
  <si>
    <t>Dovbyk</t>
  </si>
  <si>
    <t>Colombo</t>
  </si>
  <si>
    <t>Beto</t>
  </si>
  <si>
    <t>Diao</t>
  </si>
  <si>
    <t>Soulè</t>
  </si>
  <si>
    <t>Pellegrino M.</t>
  </si>
  <si>
    <t>Esposito Se.</t>
  </si>
  <si>
    <t>Varela G.</t>
  </si>
  <si>
    <t>Kevin Carlos</t>
  </si>
  <si>
    <t>Tourè E.</t>
  </si>
  <si>
    <t>Romero D.</t>
  </si>
  <si>
    <t>Adams A.</t>
  </si>
  <si>
    <t>Adams C.</t>
  </si>
  <si>
    <t>Bowie</t>
  </si>
  <si>
    <t>Bobcek</t>
  </si>
  <si>
    <t>Piccoli</t>
  </si>
  <si>
    <t>Osmajic</t>
  </si>
  <si>
    <t>Raimondo</t>
  </si>
  <si>
    <t>Yeboah J.</t>
  </si>
  <si>
    <t>Boga</t>
  </si>
  <si>
    <t>Gnonto</t>
  </si>
  <si>
    <t>Cutrone</t>
  </si>
  <si>
    <t>Ghedjemis</t>
  </si>
  <si>
    <t>Geubbels</t>
  </si>
  <si>
    <t>Kvernadze</t>
  </si>
  <si>
    <t>Maldini</t>
  </si>
  <si>
    <t>Neres</t>
  </si>
  <si>
    <t>Camarda</t>
  </si>
  <si>
    <t>Zeballos</t>
  </si>
  <si>
    <t>Bonny</t>
  </si>
  <si>
    <t>Vitinha O.</t>
  </si>
  <si>
    <t>Rrahmani Al.</t>
  </si>
  <si>
    <t>Ngonge</t>
  </si>
  <si>
    <t>Lang</t>
  </si>
  <si>
    <t>ALTRI</t>
  </si>
  <si>
    <t>Fatah</t>
  </si>
  <si>
    <t>Stulic</t>
  </si>
  <si>
    <t>Zapata D.</t>
  </si>
  <si>
    <t>Birligea</t>
  </si>
  <si>
    <t>Mendy P.</t>
  </si>
  <si>
    <t>N'Dri</t>
  </si>
  <si>
    <t>Lucca</t>
  </si>
  <si>
    <t>Elphege</t>
  </si>
  <si>
    <t>Lontani</t>
  </si>
  <si>
    <t>Milik</t>
  </si>
  <si>
    <t xml:space="preserve"> </t>
  </si>
  <si>
    <t>Nzola</t>
  </si>
  <si>
    <t>Ekhator</t>
  </si>
  <si>
    <t>Sulemana K.</t>
  </si>
  <si>
    <t>Noslin</t>
  </si>
  <si>
    <t>Mota</t>
  </si>
  <si>
    <t>Kulenovic</t>
  </si>
  <si>
    <t>Adorante</t>
  </si>
  <si>
    <t>Giovane</t>
  </si>
  <si>
    <t>Frigan</t>
  </si>
  <si>
    <t>Gueye</t>
  </si>
  <si>
    <t>Havel</t>
  </si>
  <si>
    <t>Robinson J.</t>
  </si>
  <si>
    <t>Enem</t>
  </si>
  <si>
    <t>Bayo V.</t>
  </si>
  <si>
    <t>Robinho Junior</t>
  </si>
  <si>
    <t>Trepy</t>
  </si>
  <si>
    <t>Lisman</t>
  </si>
  <si>
    <t>Lauberbach</t>
  </si>
  <si>
    <t>De Martis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</si>
</sst>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5">
    <font>
      <sz val="10.0"/>
      <color rgb="FF000000"/>
      <name val="Arial"/>
      <scheme val="minor"/>
    </font>
    <font>
      <b/>
      <sz val="11.0"/>
      <color theme="1"/>
      <name val="Calibri"/>
    </font>
    <font/>
    <font>
      <b/>
      <sz val="11.0"/>
      <color rgb="FFFFFFFF"/>
      <name val="Calibri"/>
    </font>
    <font>
      <sz val="11.0"/>
      <color theme="1"/>
      <name val="Calibri"/>
    </font>
    <font>
      <color theme="1"/>
      <name val="Arial"/>
      <scheme val="minor"/>
    </font>
    <font>
      <strike/>
      <color theme="1"/>
      <name val="Arial"/>
      <scheme val="minor"/>
    </font>
    <font>
      <b/>
      <sz val="12.0"/>
      <color theme="1"/>
      <name val="Calibri"/>
    </font>
    <font>
      <sz val="10.0"/>
      <color theme="1"/>
      <name val="Calibri"/>
    </font>
    <font>
      <b/>
      <sz val="13.0"/>
      <color rgb="FFFFFFFF"/>
      <name val="Calibri"/>
    </font>
    <font>
      <b/>
      <sz val="9.0"/>
      <color rgb="FF465469"/>
      <name val="Calibri"/>
    </font>
    <font>
      <b/>
      <sz val="10.0"/>
      <color rgb="FFFFFFFF"/>
      <name val="Calibri"/>
    </font>
    <font>
      <b/>
      <sz val="16.0"/>
      <color rgb="FF1E293A"/>
      <name val="Calibri"/>
    </font>
    <font>
      <b/>
      <sz val="16.0"/>
      <color rgb="FFDC2525"/>
      <name val="Calibri"/>
    </font>
    <font>
      <b/>
      <sz val="16.0"/>
      <color rgb="FF15A249"/>
      <name val="Calibri"/>
    </font>
    <font>
      <b/>
      <sz val="16.0"/>
      <color rgb="FF2462EB"/>
      <name val="Calibri"/>
    </font>
    <font>
      <b/>
      <sz val="10.0"/>
      <color rgb="FFB45208"/>
      <name val="Calibri"/>
    </font>
    <font>
      <b/>
      <sz val="10.0"/>
      <color theme="1"/>
      <name val="Calibri"/>
    </font>
    <font>
      <i/>
      <sz val="8.0"/>
      <color rgb="FF93A2B8"/>
      <name val="Calibri"/>
    </font>
    <font>
      <b/>
      <sz val="10.0"/>
      <color rgb="FF14803C"/>
      <name val="Calibri"/>
    </font>
    <font>
      <b/>
      <sz val="10.0"/>
      <color rgb="FF1D4ED7"/>
      <name val="Calibri"/>
    </font>
    <font>
      <b/>
      <sz val="10.0"/>
      <color rgb="FFB81C1C"/>
      <name val="Calibri"/>
    </font>
    <font>
      <b/>
      <sz val="10.0"/>
      <color rgb="FF0F162A"/>
      <name val="Calibri"/>
    </font>
    <font>
      <b/>
      <sz val="10.0"/>
      <color rgb="FF1E293A"/>
      <name val="Calibri"/>
    </font>
    <font>
      <b/>
      <sz val="11.0"/>
      <color rgb="FFDC2525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D97706"/>
        <bgColor rgb="FFD97706"/>
      </patternFill>
    </fill>
    <fill>
      <patternFill patternType="solid">
        <fgColor rgb="FF15803C"/>
        <bgColor rgb="FF15803C"/>
      </patternFill>
    </fill>
    <fill>
      <patternFill patternType="solid">
        <fgColor rgb="FFFFFFFF"/>
        <bgColor rgb="FFFFFFFF"/>
      </patternFill>
    </fill>
    <fill>
      <patternFill patternType="solid">
        <fgColor rgb="FF1D4ED7"/>
        <bgColor rgb="FF1D4ED7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1E293A"/>
        <bgColor rgb="FF1E293A"/>
      </patternFill>
    </fill>
    <fill>
      <patternFill patternType="solid">
        <fgColor rgb="FFDC2525"/>
        <bgColor rgb="FFDC2525"/>
      </patternFill>
    </fill>
    <fill>
      <patternFill patternType="solid">
        <fgColor rgb="FFF0F5F8"/>
        <bgColor rgb="FFF0F5F8"/>
      </patternFill>
    </fill>
    <fill>
      <patternFill patternType="solid">
        <fgColor rgb="FF334154"/>
        <bgColor rgb="FF334154"/>
      </patternFill>
    </fill>
    <fill>
      <patternFill patternType="solid">
        <fgColor rgb="FFFDF3C6"/>
        <bgColor rgb="FFFDF3C6"/>
      </patternFill>
    </fill>
    <fill>
      <patternFill patternType="solid">
        <fgColor rgb="FFF8F9FB"/>
        <bgColor rgb="FFF8F9FB"/>
      </patternFill>
    </fill>
    <fill>
      <patternFill patternType="solid">
        <fgColor rgb="FFDCFBE7"/>
        <bgColor rgb="FFDCFBE7"/>
      </patternFill>
    </fill>
    <fill>
      <patternFill patternType="solid">
        <fgColor rgb="FFDBEAFD"/>
        <bgColor rgb="FFDBEAFD"/>
      </patternFill>
    </fill>
    <fill>
      <patternFill patternType="solid">
        <fgColor rgb="FFFDE1E1"/>
        <bgColor rgb="FFFDE1E1"/>
      </patternFill>
    </fill>
    <fill>
      <patternFill patternType="solid">
        <fgColor rgb="FF465469"/>
        <bgColor rgb="FF465469"/>
      </patternFill>
    </fill>
    <fill>
      <patternFill patternType="solid">
        <fgColor rgb="FFE1E8EF"/>
        <bgColor rgb="FFE1E8EF"/>
      </patternFill>
    </fill>
    <fill>
      <patternFill patternType="solid">
        <fgColor rgb="FFEA9999"/>
        <bgColor rgb="FFEA9999"/>
      </patternFill>
    </fill>
  </fills>
  <borders count="8">
    <border/>
    <border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CAD4E0"/>
      </left>
      <right style="thin">
        <color rgb="FFCAD4E0"/>
      </right>
      <top style="thin">
        <color rgb="FFCAD4E0"/>
      </top>
      <bottom style="thin">
        <color rgb="FFCAD4E0"/>
      </bottom>
    </border>
    <border>
      <top style="thin">
        <color rgb="FF63748A"/>
      </top>
      <bottom style="medium">
        <color rgb="FF63748A"/>
      </bottom>
    </border>
    <border>
      <bottom style="medium">
        <color rgb="FF93A2B8"/>
      </bottom>
    </border>
    <border>
      <bottom style="thin">
        <color rgb="FFE1E8EF"/>
      </bottom>
    </border>
    <border>
      <top style="medium">
        <color rgb="FF465469"/>
      </top>
      <bottom style="medium">
        <color rgb="FF465469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0" fontId="2" numFmtId="0" xfId="0" applyBorder="1" applyFont="1"/>
    <xf borderId="0" fillId="3" fontId="3" numFmtId="0" xfId="0" applyAlignment="1" applyFill="1" applyFont="1">
      <alignment vertical="center"/>
    </xf>
    <xf borderId="2" fillId="2" fontId="1" numFmtId="0" xfId="0" applyAlignment="1" applyBorder="1" applyFill="1" applyFont="1">
      <alignment horizontal="center" vertical="center"/>
    </xf>
    <xf borderId="0" fillId="4" fontId="3" numFmtId="0" xfId="0" applyAlignment="1" applyFill="1" applyFont="1">
      <alignment vertical="center"/>
    </xf>
    <xf borderId="0" fillId="0" fontId="4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horizontal="center" vertical="center"/>
    </xf>
    <xf borderId="0" fillId="0" fontId="1" numFmtId="0" xfId="0" applyAlignment="1" applyFont="1">
      <alignment horizontal="right" vertical="bottom"/>
    </xf>
    <xf borderId="0" fillId="4" fontId="3" numFmtId="0" xfId="0" applyAlignment="1" applyFill="1" applyFont="1">
      <alignment horizontal="center" vertical="center"/>
    </xf>
    <xf borderId="0" fillId="0" fontId="1" numFmtId="0" xfId="0" applyAlignment="1" applyFont="1">
      <alignment horizontal="center"/>
    </xf>
    <xf borderId="0" fillId="0" fontId="5" numFmtId="0" xfId="0" applyFont="1"/>
    <xf borderId="0" fillId="0" fontId="1" numFmtId="0" xfId="0" applyAlignment="1" applyFont="1">
      <alignment horizontal="center" readingOrder="0" vertical="center"/>
    </xf>
    <xf borderId="0" fillId="0" fontId="6" numFmtId="0" xfId="0" applyFont="1"/>
    <xf borderId="2" fillId="5" fontId="7" numFmtId="3" xfId="0" applyAlignment="1" applyBorder="1" applyFill="1" applyFont="1" applyNumberFormat="1">
      <alignment horizontal="center" readingOrder="0" vertical="center"/>
    </xf>
    <xf borderId="0" fillId="0" fontId="5" numFmtId="3" xfId="0" applyAlignment="1" applyFont="1" applyNumberFormat="1">
      <alignment horizontal="right"/>
    </xf>
    <xf borderId="0" fillId="0" fontId="4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vertical="bottom"/>
    </xf>
    <xf borderId="0" fillId="6" fontId="3" numFmtId="0" xfId="0" applyAlignment="1" applyFill="1" applyFont="1">
      <alignment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6" fontId="3" numFmtId="0" xfId="0" applyAlignment="1" applyFill="1" applyFont="1">
      <alignment horizontal="center" vertical="center"/>
    </xf>
    <xf borderId="0" fillId="0" fontId="5" numFmtId="1" xfId="0" applyAlignment="1" applyFont="1" applyNumberFormat="1">
      <alignment horizontal="center"/>
    </xf>
    <xf borderId="0" fillId="0" fontId="8" numFmtId="1" xfId="0" applyAlignment="1" applyFont="1" applyNumberFormat="1">
      <alignment horizontal="center" vertical="center"/>
    </xf>
    <xf borderId="0" fillId="0" fontId="5" numFmtId="0" xfId="0" applyAlignment="1" applyFont="1">
      <alignment horizontal="center"/>
    </xf>
    <xf borderId="0" fillId="0" fontId="4" numFmtId="164" xfId="0" applyAlignment="1" applyFont="1" applyNumberFormat="1">
      <alignment horizontal="right" vertical="bottom"/>
    </xf>
    <xf borderId="0" fillId="7" fontId="4" numFmtId="0" xfId="0" applyAlignment="1" applyFill="1" applyFont="1">
      <alignment horizontal="right" readingOrder="0" shrinkToFit="0" vertical="bottom" wrapText="0"/>
    </xf>
    <xf borderId="0" fillId="8" fontId="4" numFmtId="0" xfId="0" applyAlignment="1" applyFill="1" applyFont="1">
      <alignment horizontal="right" readingOrder="0" shrinkToFit="0" vertical="bottom" wrapText="0"/>
    </xf>
    <xf borderId="0" fillId="9" fontId="9" numFmtId="0" xfId="0" applyAlignment="1" applyFill="1" applyFont="1">
      <alignment horizontal="center" readingOrder="0" vertical="center"/>
    </xf>
    <xf borderId="0" fillId="10" fontId="3" numFmtId="0" xfId="0" applyAlignment="1" applyFill="1" applyFont="1">
      <alignment vertical="center"/>
    </xf>
    <xf borderId="3" fillId="11" fontId="10" numFmtId="0" xfId="0" applyAlignment="1" applyBorder="1" applyFill="1" applyFont="1">
      <alignment horizontal="center" readingOrder="0" vertical="center"/>
    </xf>
    <xf borderId="0" fillId="10" fontId="3" numFmtId="0" xfId="0" applyAlignment="1" applyFill="1" applyFont="1">
      <alignment horizontal="center" vertical="center"/>
    </xf>
    <xf borderId="0" fillId="12" fontId="11" numFmtId="0" xfId="0" applyAlignment="1" applyFill="1" applyFont="1">
      <alignment horizontal="center" readingOrder="0" vertical="center"/>
    </xf>
    <xf borderId="3" fillId="0" fontId="12" numFmtId="3" xfId="0" applyAlignment="1" applyBorder="1" applyFont="1" applyNumberFormat="1">
      <alignment horizontal="center" vertical="center"/>
    </xf>
    <xf borderId="3" fillId="0" fontId="13" numFmtId="3" xfId="0" applyAlignment="1" applyBorder="1" applyFont="1" applyNumberFormat="1">
      <alignment horizontal="center" vertical="center"/>
    </xf>
    <xf borderId="3" fillId="0" fontId="14" numFmtId="3" xfId="0" applyAlignment="1" applyBorder="1" applyFont="1" applyNumberFormat="1">
      <alignment horizontal="center" vertical="center"/>
    </xf>
    <xf borderId="3" fillId="0" fontId="15" numFmtId="3" xfId="0" applyAlignment="1" applyBorder="1" applyFont="1" applyNumberFormat="1">
      <alignment horizontal="center" vertical="center"/>
    </xf>
    <xf borderId="0" fillId="13" fontId="16" numFmtId="0" xfId="0" applyAlignment="1" applyFill="1" applyFont="1">
      <alignment horizontal="center" readingOrder="0" vertical="center"/>
    </xf>
    <xf borderId="0" fillId="0" fontId="8" numFmtId="1" xfId="0" applyAlignment="1" applyFont="1" applyNumberFormat="1">
      <alignment horizontal="center" readingOrder="0" vertical="center"/>
    </xf>
    <xf borderId="0" fillId="0" fontId="17" numFmtId="1" xfId="0" applyAlignment="1" applyFont="1" applyNumberFormat="1">
      <alignment horizontal="center" vertical="center"/>
    </xf>
    <xf borderId="0" fillId="0" fontId="5" numFmtId="3" xfId="0" applyFont="1" applyNumberFormat="1"/>
    <xf borderId="3" fillId="14" fontId="18" numFmtId="0" xfId="0" applyAlignment="1" applyBorder="1" applyFill="1" applyFont="1">
      <alignment horizontal="center" readingOrder="0" vertical="center"/>
    </xf>
    <xf borderId="0" fillId="15" fontId="19" numFmtId="0" xfId="0" applyAlignment="1" applyFill="1" applyFont="1">
      <alignment horizontal="center" readingOrder="0" vertical="center"/>
    </xf>
    <xf borderId="0" fillId="16" fontId="20" numFmtId="0" xfId="0" applyAlignment="1" applyFill="1" applyFont="1">
      <alignment horizontal="center" readingOrder="0" vertical="center"/>
    </xf>
    <xf borderId="0" fillId="17" fontId="21" numFmtId="0" xfId="0" applyAlignment="1" applyFill="1" applyFont="1">
      <alignment horizontal="center" readingOrder="0" vertical="center"/>
    </xf>
    <xf borderId="4" fillId="11" fontId="22" numFmtId="1" xfId="0" applyAlignment="1" applyBorder="1" applyFill="1" applyFont="1" applyNumberFormat="1">
      <alignment horizontal="center" readingOrder="0" vertical="center"/>
    </xf>
    <xf borderId="4" fillId="11" fontId="22" numFmtId="1" xfId="0" applyAlignment="1" applyBorder="1" applyFill="1" applyFont="1" applyNumberFormat="1">
      <alignment horizontal="center" vertical="center"/>
    </xf>
    <xf borderId="0" fillId="18" fontId="11" numFmtId="0" xfId="0" applyAlignment="1" applyFill="1" applyFont="1">
      <alignment horizontal="center" readingOrder="0" vertical="center"/>
    </xf>
    <xf borderId="5" fillId="19" fontId="23" numFmtId="0" xfId="0" applyAlignment="1" applyBorder="1" applyFill="1" applyFont="1">
      <alignment horizontal="center" readingOrder="0" vertical="center"/>
    </xf>
    <xf borderId="5" fillId="19" fontId="23" numFmtId="0" xfId="0" applyAlignment="1" applyBorder="1" applyFill="1" applyFont="1">
      <alignment horizontal="left" readingOrder="0" vertical="center"/>
    </xf>
    <xf borderId="6" fillId="0" fontId="5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left" readingOrder="0" vertical="center"/>
    </xf>
    <xf borderId="6" fillId="0" fontId="8" numFmtId="3" xfId="0" applyAlignment="1" applyBorder="1" applyFont="1" applyNumberFormat="1">
      <alignment horizontal="right" readingOrder="0" vertical="center"/>
    </xf>
    <xf borderId="7" fillId="11" fontId="23" numFmtId="0" xfId="0" applyAlignment="1" applyBorder="1" applyFill="1" applyFont="1">
      <alignment horizontal="right" readingOrder="0" vertical="center"/>
    </xf>
    <xf borderId="7" fillId="0" fontId="2" numFmtId="0" xfId="0" applyBorder="1" applyFont="1"/>
    <xf borderId="7" fillId="11" fontId="24" numFmtId="3" xfId="0" applyAlignment="1" applyBorder="1" applyFill="1" applyFont="1" applyNumberFormat="1">
      <alignment horizontal="right" vertical="center"/>
    </xf>
    <xf borderId="0" fillId="20" fontId="4" numFmtId="0" xfId="0" applyAlignment="1" applyFill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FFF5D1"/>
          <bgColor rgb="FFFFF5D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0"/>
    <col customWidth="1" min="2" max="2" width="2.13"/>
    <col customWidth="1" min="3" max="3" width="15.5"/>
    <col customWidth="1" min="4" max="4" width="8.88"/>
    <col customWidth="1" min="5" max="5" width="4.63"/>
    <col customWidth="1" min="6" max="6" width="8.5"/>
    <col customWidth="1" min="7" max="7" width="6.13"/>
    <col customWidth="1" min="8" max="8" width="13.88"/>
    <col customWidth="1" min="9" max="9" width="12.5"/>
    <col customWidth="1" min="10" max="10" width="12.0"/>
    <col customWidth="1" min="12" max="12" width="12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L1" s="4" t="s">
        <v>1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8" t="s">
        <v>7</v>
      </c>
      <c r="G2" s="10" t="s">
        <v>10</v>
      </c>
      <c r="H2" s="10" t="s">
        <v>11</v>
      </c>
      <c r="I2" s="10" t="s">
        <v>12</v>
      </c>
      <c r="J2" s="12" t="s">
        <v>13</v>
      </c>
      <c r="L2" s="14">
        <v>600.0</v>
      </c>
    </row>
    <row r="3">
      <c r="A3" s="16">
        <v>5841.0</v>
      </c>
      <c r="B3" s="6" t="s">
        <v>14</v>
      </c>
      <c r="C3" s="6" t="s">
        <v>15</v>
      </c>
      <c r="D3" s="6" t="s">
        <v>16</v>
      </c>
      <c r="E3" s="18">
        <f t="shared" ref="E3:E533" si="1">ROUND(F3*$L$2,0)</f>
        <v>66</v>
      </c>
      <c r="F3" s="19">
        <v>0.11</v>
      </c>
      <c r="G3" s="21" t="s">
        <v>17</v>
      </c>
      <c r="H3" s="22"/>
      <c r="I3" s="24">
        <f t="shared" ref="I3:I533" si="2">SWITCH(G3, "TOP", 1, "SEMITOP", 2, "TERZO-SLOT", 3, "QUARTO-SLOT", 4, "SCOMMESSE", 5, "TITOLARI", 6, "ALTRI", 7, 8)</f>
        <v>1</v>
      </c>
      <c r="J3" s="25">
        <f t="shared" ref="J3:J533" si="3">SWITCH(B3, "P", 1, "D", 2, "C", 3, "A", 4, 99)</f>
        <v>1</v>
      </c>
    </row>
    <row r="4">
      <c r="A4" s="16">
        <v>5116.0</v>
      </c>
      <c r="B4" s="6" t="s">
        <v>14</v>
      </c>
      <c r="C4" s="6" t="s">
        <v>18</v>
      </c>
      <c r="D4" s="6" t="s">
        <v>19</v>
      </c>
      <c r="E4" s="18">
        <f t="shared" si="1"/>
        <v>54</v>
      </c>
      <c r="F4" s="19">
        <v>0.09</v>
      </c>
      <c r="G4" s="21" t="s">
        <v>17</v>
      </c>
      <c r="H4" s="26"/>
      <c r="I4" s="24">
        <f t="shared" si="2"/>
        <v>1</v>
      </c>
      <c r="J4" s="25">
        <f t="shared" si="3"/>
        <v>1</v>
      </c>
    </row>
    <row r="5">
      <c r="A5" s="16">
        <v>4964.0</v>
      </c>
      <c r="B5" s="6" t="s">
        <v>14</v>
      </c>
      <c r="C5" s="6" t="s">
        <v>20</v>
      </c>
      <c r="D5" s="6" t="s">
        <v>21</v>
      </c>
      <c r="E5" s="18">
        <f t="shared" si="1"/>
        <v>54</v>
      </c>
      <c r="F5" s="19">
        <v>0.09</v>
      </c>
      <c r="G5" s="21" t="s">
        <v>17</v>
      </c>
      <c r="H5" s="26"/>
      <c r="I5" s="24">
        <f t="shared" si="2"/>
        <v>1</v>
      </c>
      <c r="J5" s="25">
        <f t="shared" si="3"/>
        <v>1</v>
      </c>
    </row>
    <row r="6">
      <c r="A6" s="16">
        <v>4312.0</v>
      </c>
      <c r="B6" s="6" t="s">
        <v>14</v>
      </c>
      <c r="C6" s="6" t="s">
        <v>22</v>
      </c>
      <c r="D6" s="6" t="s">
        <v>23</v>
      </c>
      <c r="E6" s="18">
        <f t="shared" si="1"/>
        <v>54</v>
      </c>
      <c r="F6" s="19">
        <v>0.09</v>
      </c>
      <c r="G6" s="21" t="s">
        <v>17</v>
      </c>
      <c r="H6" s="26"/>
      <c r="I6" s="24">
        <f t="shared" si="2"/>
        <v>1</v>
      </c>
      <c r="J6" s="25">
        <f t="shared" si="3"/>
        <v>1</v>
      </c>
    </row>
    <row r="7">
      <c r="A7" s="16">
        <v>4431.0</v>
      </c>
      <c r="B7" s="6" t="s">
        <v>14</v>
      </c>
      <c r="C7" s="6" t="s">
        <v>24</v>
      </c>
      <c r="D7" s="6" t="s">
        <v>25</v>
      </c>
      <c r="E7" s="18">
        <f t="shared" si="1"/>
        <v>48</v>
      </c>
      <c r="F7" s="19">
        <v>0.08</v>
      </c>
      <c r="G7" s="21" t="s">
        <v>17</v>
      </c>
      <c r="H7" s="26"/>
      <c r="I7" s="24">
        <f t="shared" si="2"/>
        <v>1</v>
      </c>
      <c r="J7" s="25">
        <f t="shared" si="3"/>
        <v>1</v>
      </c>
    </row>
    <row r="8">
      <c r="A8" s="16">
        <v>572.0</v>
      </c>
      <c r="B8" s="6" t="s">
        <v>14</v>
      </c>
      <c r="C8" s="6" t="s">
        <v>26</v>
      </c>
      <c r="D8" s="6" t="s">
        <v>27</v>
      </c>
      <c r="E8" s="18">
        <f t="shared" si="1"/>
        <v>45</v>
      </c>
      <c r="F8" s="19">
        <v>0.075</v>
      </c>
      <c r="G8" s="21" t="s">
        <v>17</v>
      </c>
      <c r="H8" s="26"/>
      <c r="I8" s="24">
        <f t="shared" si="2"/>
        <v>1</v>
      </c>
      <c r="J8" s="25">
        <f t="shared" si="3"/>
        <v>1</v>
      </c>
    </row>
    <row r="9">
      <c r="A9" s="16">
        <v>6966.0</v>
      </c>
      <c r="B9" s="6" t="s">
        <v>14</v>
      </c>
      <c r="C9" s="6" t="s">
        <v>28</v>
      </c>
      <c r="D9" s="6" t="s">
        <v>29</v>
      </c>
      <c r="E9" s="18">
        <f t="shared" si="1"/>
        <v>42</v>
      </c>
      <c r="F9" s="19">
        <v>0.07</v>
      </c>
      <c r="G9" s="21" t="s">
        <v>17</v>
      </c>
      <c r="H9" s="26"/>
      <c r="I9" s="24">
        <f t="shared" si="2"/>
        <v>1</v>
      </c>
      <c r="J9" s="25">
        <f t="shared" si="3"/>
        <v>1</v>
      </c>
    </row>
    <row r="10">
      <c r="A10" s="16">
        <v>6482.0</v>
      </c>
      <c r="B10" s="6" t="s">
        <v>14</v>
      </c>
      <c r="C10" s="6" t="s">
        <v>30</v>
      </c>
      <c r="D10" s="6" t="s">
        <v>31</v>
      </c>
      <c r="E10" s="18">
        <f t="shared" si="1"/>
        <v>21</v>
      </c>
      <c r="F10" s="19">
        <v>0.035</v>
      </c>
      <c r="G10" s="21" t="s">
        <v>32</v>
      </c>
      <c r="H10" s="22" t="s">
        <v>33</v>
      </c>
      <c r="I10" s="24">
        <f t="shared" si="2"/>
        <v>2</v>
      </c>
      <c r="J10" s="25">
        <f t="shared" si="3"/>
        <v>1</v>
      </c>
    </row>
    <row r="11">
      <c r="A11" s="16">
        <v>2521.0</v>
      </c>
      <c r="B11" s="6" t="s">
        <v>14</v>
      </c>
      <c r="C11" s="6" t="s">
        <v>34</v>
      </c>
      <c r="D11" s="6" t="s">
        <v>35</v>
      </c>
      <c r="E11" s="18">
        <f t="shared" si="1"/>
        <v>18</v>
      </c>
      <c r="F11" s="27">
        <v>0.03</v>
      </c>
      <c r="G11" s="21" t="s">
        <v>32</v>
      </c>
      <c r="H11" s="26"/>
      <c r="I11" s="24">
        <f t="shared" si="2"/>
        <v>2</v>
      </c>
      <c r="J11" s="25">
        <f t="shared" si="3"/>
        <v>1</v>
      </c>
    </row>
    <row r="12">
      <c r="A12" s="16">
        <v>133.0</v>
      </c>
      <c r="B12" s="6" t="s">
        <v>14</v>
      </c>
      <c r="C12" s="6" t="s">
        <v>36</v>
      </c>
      <c r="D12" s="6" t="s">
        <v>37</v>
      </c>
      <c r="E12" s="18">
        <f t="shared" si="1"/>
        <v>18</v>
      </c>
      <c r="F12" s="19">
        <v>0.03</v>
      </c>
      <c r="G12" s="21" t="s">
        <v>32</v>
      </c>
      <c r="H12" s="26"/>
      <c r="I12" s="24">
        <f t="shared" si="2"/>
        <v>2</v>
      </c>
      <c r="J12" s="25">
        <f t="shared" si="3"/>
        <v>1</v>
      </c>
    </row>
    <row r="13">
      <c r="A13" s="16">
        <v>6462.0</v>
      </c>
      <c r="B13" s="6" t="s">
        <v>14</v>
      </c>
      <c r="C13" s="6" t="s">
        <v>38</v>
      </c>
      <c r="D13" s="6" t="s">
        <v>39</v>
      </c>
      <c r="E13" s="18">
        <f t="shared" si="1"/>
        <v>12</v>
      </c>
      <c r="F13" s="19">
        <v>0.02</v>
      </c>
      <c r="G13" s="21" t="s">
        <v>32</v>
      </c>
      <c r="H13" s="26"/>
      <c r="I13" s="24">
        <f t="shared" si="2"/>
        <v>2</v>
      </c>
      <c r="J13" s="25">
        <f t="shared" si="3"/>
        <v>1</v>
      </c>
    </row>
    <row r="14">
      <c r="A14" s="16">
        <v>2134.0</v>
      </c>
      <c r="B14" s="6" t="s">
        <v>14</v>
      </c>
      <c r="C14" s="6" t="s">
        <v>40</v>
      </c>
      <c r="D14" s="6" t="s">
        <v>41</v>
      </c>
      <c r="E14" s="18">
        <f t="shared" si="1"/>
        <v>12</v>
      </c>
      <c r="F14" s="19">
        <v>0.02</v>
      </c>
      <c r="G14" s="21" t="s">
        <v>32</v>
      </c>
      <c r="H14" s="26"/>
      <c r="I14" s="24">
        <f t="shared" si="2"/>
        <v>2</v>
      </c>
      <c r="J14" s="25">
        <f t="shared" si="3"/>
        <v>1</v>
      </c>
    </row>
    <row r="15">
      <c r="A15" s="16">
        <v>4360.0</v>
      </c>
      <c r="B15" s="6" t="s">
        <v>14</v>
      </c>
      <c r="C15" s="6" t="s">
        <v>42</v>
      </c>
      <c r="D15" s="6" t="s">
        <v>43</v>
      </c>
      <c r="E15" s="18">
        <f t="shared" si="1"/>
        <v>7</v>
      </c>
      <c r="F15" s="19">
        <v>0.012</v>
      </c>
      <c r="G15" s="21" t="s">
        <v>32</v>
      </c>
      <c r="H15" s="26"/>
      <c r="I15" s="24">
        <f t="shared" si="2"/>
        <v>2</v>
      </c>
      <c r="J15" s="25">
        <f t="shared" si="3"/>
        <v>1</v>
      </c>
    </row>
    <row r="16">
      <c r="A16" s="16">
        <v>2170.0</v>
      </c>
      <c r="B16" s="6" t="s">
        <v>14</v>
      </c>
      <c r="C16" s="6" t="s">
        <v>44</v>
      </c>
      <c r="D16" s="6" t="s">
        <v>27</v>
      </c>
      <c r="E16" s="18">
        <f t="shared" si="1"/>
        <v>7</v>
      </c>
      <c r="F16" s="19">
        <v>0.012</v>
      </c>
      <c r="G16" s="21" t="s">
        <v>45</v>
      </c>
      <c r="H16" s="26"/>
      <c r="I16" s="24">
        <f t="shared" si="2"/>
        <v>3</v>
      </c>
      <c r="J16" s="25">
        <f t="shared" si="3"/>
        <v>1</v>
      </c>
    </row>
    <row r="17">
      <c r="A17" s="16">
        <v>7332.0</v>
      </c>
      <c r="B17" s="6" t="s">
        <v>14</v>
      </c>
      <c r="C17" s="6" t="s">
        <v>46</v>
      </c>
      <c r="D17" s="6" t="s">
        <v>47</v>
      </c>
      <c r="E17" s="18">
        <f t="shared" si="1"/>
        <v>6</v>
      </c>
      <c r="F17" s="19">
        <v>0.01</v>
      </c>
      <c r="G17" s="21" t="s">
        <v>32</v>
      </c>
      <c r="H17" s="26"/>
      <c r="I17" s="24">
        <f t="shared" si="2"/>
        <v>2</v>
      </c>
      <c r="J17" s="25">
        <f t="shared" si="3"/>
        <v>1</v>
      </c>
    </row>
    <row r="18">
      <c r="A18" s="16">
        <v>2814.0</v>
      </c>
      <c r="B18" s="6" t="s">
        <v>14</v>
      </c>
      <c r="C18" s="6" t="s">
        <v>48</v>
      </c>
      <c r="D18" s="6" t="s">
        <v>19</v>
      </c>
      <c r="E18" s="18">
        <f t="shared" si="1"/>
        <v>6</v>
      </c>
      <c r="F18" s="19">
        <v>0.01</v>
      </c>
      <c r="G18" s="21" t="s">
        <v>45</v>
      </c>
      <c r="H18" s="26"/>
      <c r="I18" s="24">
        <f t="shared" si="2"/>
        <v>3</v>
      </c>
      <c r="J18" s="25">
        <f t="shared" si="3"/>
        <v>1</v>
      </c>
    </row>
    <row r="19">
      <c r="A19" s="16">
        <v>6662.0</v>
      </c>
      <c r="B19" s="6" t="s">
        <v>14</v>
      </c>
      <c r="C19" s="6" t="s">
        <v>49</v>
      </c>
      <c r="D19" s="6" t="s">
        <v>50</v>
      </c>
      <c r="E19" s="18">
        <f t="shared" si="1"/>
        <v>6</v>
      </c>
      <c r="F19" s="27">
        <v>0.01</v>
      </c>
      <c r="G19" s="21" t="s">
        <v>45</v>
      </c>
      <c r="H19" s="26"/>
      <c r="I19" s="24">
        <f t="shared" si="2"/>
        <v>3</v>
      </c>
      <c r="J19" s="25">
        <f t="shared" si="3"/>
        <v>1</v>
      </c>
    </row>
    <row r="20">
      <c r="A20" s="16">
        <v>7301.0</v>
      </c>
      <c r="B20" s="6" t="s">
        <v>14</v>
      </c>
      <c r="C20" s="6" t="s">
        <v>51</v>
      </c>
      <c r="D20" s="6" t="s">
        <v>52</v>
      </c>
      <c r="E20" s="18">
        <f t="shared" si="1"/>
        <v>6</v>
      </c>
      <c r="F20" s="27">
        <v>0.01</v>
      </c>
      <c r="G20" s="11"/>
      <c r="H20" s="26"/>
      <c r="I20" s="24">
        <f t="shared" si="2"/>
        <v>8</v>
      </c>
      <c r="J20" s="25">
        <f t="shared" si="3"/>
        <v>1</v>
      </c>
    </row>
    <row r="21">
      <c r="A21" s="16">
        <v>6248.0</v>
      </c>
      <c r="B21" s="6" t="s">
        <v>14</v>
      </c>
      <c r="C21" s="6" t="s">
        <v>53</v>
      </c>
      <c r="D21" s="6" t="s">
        <v>54</v>
      </c>
      <c r="E21" s="18">
        <f t="shared" si="1"/>
        <v>5</v>
      </c>
      <c r="F21" s="19">
        <v>0.008</v>
      </c>
      <c r="G21" s="21" t="s">
        <v>45</v>
      </c>
      <c r="H21" s="26"/>
      <c r="I21" s="24">
        <f t="shared" si="2"/>
        <v>3</v>
      </c>
      <c r="J21" s="25">
        <f t="shared" si="3"/>
        <v>1</v>
      </c>
    </row>
    <row r="22">
      <c r="A22" s="16">
        <v>6534.0</v>
      </c>
      <c r="B22" s="6" t="s">
        <v>14</v>
      </c>
      <c r="C22" s="6" t="s">
        <v>55</v>
      </c>
      <c r="D22" s="6" t="s">
        <v>56</v>
      </c>
      <c r="E22" s="18">
        <f t="shared" si="1"/>
        <v>4</v>
      </c>
      <c r="F22" s="19">
        <v>0.006</v>
      </c>
      <c r="G22" s="21" t="s">
        <v>45</v>
      </c>
      <c r="H22" s="26"/>
      <c r="I22" s="24">
        <f t="shared" si="2"/>
        <v>3</v>
      </c>
      <c r="J22" s="25">
        <f t="shared" si="3"/>
        <v>1</v>
      </c>
    </row>
    <row r="23">
      <c r="A23" s="16">
        <v>7457.0</v>
      </c>
      <c r="B23" s="6" t="s">
        <v>14</v>
      </c>
      <c r="C23" s="6" t="s">
        <v>57</v>
      </c>
      <c r="D23" s="6" t="s">
        <v>56</v>
      </c>
      <c r="E23" s="18">
        <f t="shared" si="1"/>
        <v>3</v>
      </c>
      <c r="F23" s="27">
        <v>0.005</v>
      </c>
      <c r="G23" s="11"/>
      <c r="H23" s="26"/>
      <c r="I23" s="24">
        <f t="shared" si="2"/>
        <v>8</v>
      </c>
      <c r="J23" s="25">
        <f t="shared" si="3"/>
        <v>1</v>
      </c>
    </row>
    <row r="24">
      <c r="A24" s="16">
        <v>4236.0</v>
      </c>
      <c r="B24" s="6" t="s">
        <v>14</v>
      </c>
      <c r="C24" s="6" t="s">
        <v>58</v>
      </c>
      <c r="D24" s="6" t="s">
        <v>59</v>
      </c>
      <c r="E24" s="18">
        <f t="shared" si="1"/>
        <v>2</v>
      </c>
      <c r="F24" s="19">
        <v>0.004</v>
      </c>
      <c r="G24" s="21" t="s">
        <v>45</v>
      </c>
      <c r="H24" s="26"/>
      <c r="I24" s="24">
        <f t="shared" si="2"/>
        <v>3</v>
      </c>
      <c r="J24" s="25">
        <f t="shared" si="3"/>
        <v>1</v>
      </c>
    </row>
    <row r="25">
      <c r="A25" s="16">
        <v>6344.0</v>
      </c>
      <c r="B25" s="6" t="s">
        <v>14</v>
      </c>
      <c r="C25" s="6" t="s">
        <v>60</v>
      </c>
      <c r="D25" s="6" t="s">
        <v>29</v>
      </c>
      <c r="E25" s="18">
        <f t="shared" si="1"/>
        <v>1</v>
      </c>
      <c r="F25" s="19">
        <v>0.002</v>
      </c>
      <c r="G25" s="21" t="s">
        <v>45</v>
      </c>
      <c r="H25" s="26"/>
      <c r="I25" s="24">
        <f t="shared" si="2"/>
        <v>3</v>
      </c>
      <c r="J25" s="25">
        <f t="shared" si="3"/>
        <v>1</v>
      </c>
    </row>
    <row r="26">
      <c r="A26" s="16">
        <v>7411.0</v>
      </c>
      <c r="B26" s="6" t="s">
        <v>14</v>
      </c>
      <c r="C26" s="6" t="s">
        <v>61</v>
      </c>
      <c r="D26" s="6" t="s">
        <v>50</v>
      </c>
      <c r="E26" s="18">
        <f t="shared" si="1"/>
        <v>1</v>
      </c>
      <c r="F26" s="19">
        <v>0.002</v>
      </c>
      <c r="G26" s="21" t="s">
        <v>45</v>
      </c>
      <c r="H26" s="26"/>
      <c r="I26" s="24">
        <f t="shared" si="2"/>
        <v>3</v>
      </c>
      <c r="J26" s="25">
        <f t="shared" si="3"/>
        <v>1</v>
      </c>
    </row>
    <row r="27">
      <c r="A27" s="16">
        <v>6415.0</v>
      </c>
      <c r="B27" s="6" t="s">
        <v>14</v>
      </c>
      <c r="C27" s="6" t="s">
        <v>62</v>
      </c>
      <c r="D27" s="6" t="s">
        <v>63</v>
      </c>
      <c r="E27" s="18">
        <f t="shared" si="1"/>
        <v>1</v>
      </c>
      <c r="F27" s="19">
        <v>0.002</v>
      </c>
      <c r="G27" s="11"/>
      <c r="H27" s="26"/>
      <c r="I27" s="24">
        <f t="shared" si="2"/>
        <v>8</v>
      </c>
      <c r="J27" s="25">
        <f t="shared" si="3"/>
        <v>1</v>
      </c>
    </row>
    <row r="28">
      <c r="A28" s="16">
        <v>4485.0</v>
      </c>
      <c r="B28" s="6" t="s">
        <v>14</v>
      </c>
      <c r="C28" s="6" t="s">
        <v>64</v>
      </c>
      <c r="D28" s="6" t="s">
        <v>52</v>
      </c>
      <c r="E28" s="18">
        <f t="shared" si="1"/>
        <v>1</v>
      </c>
      <c r="F28" s="19">
        <v>0.002</v>
      </c>
      <c r="G28" s="11"/>
      <c r="H28" s="26"/>
      <c r="I28" s="24">
        <f t="shared" si="2"/>
        <v>8</v>
      </c>
      <c r="J28" s="25">
        <f t="shared" si="3"/>
        <v>1</v>
      </c>
    </row>
    <row r="29">
      <c r="A29" s="16">
        <v>7463.0</v>
      </c>
      <c r="B29" s="6" t="s">
        <v>14</v>
      </c>
      <c r="C29" s="6" t="s">
        <v>65</v>
      </c>
      <c r="D29" s="6" t="s">
        <v>63</v>
      </c>
      <c r="E29" s="18">
        <f t="shared" si="1"/>
        <v>1</v>
      </c>
      <c r="F29" s="27">
        <v>0.001</v>
      </c>
      <c r="G29" s="11"/>
      <c r="H29" s="26"/>
      <c r="I29" s="24">
        <f t="shared" si="2"/>
        <v>8</v>
      </c>
      <c r="J29" s="25">
        <f t="shared" si="3"/>
        <v>1</v>
      </c>
    </row>
    <row r="30">
      <c r="A30" s="16">
        <v>4.0</v>
      </c>
      <c r="B30" s="6" t="s">
        <v>14</v>
      </c>
      <c r="C30" s="6" t="s">
        <v>66</v>
      </c>
      <c r="D30" s="6" t="s">
        <v>25</v>
      </c>
      <c r="E30" s="18">
        <f t="shared" si="1"/>
        <v>1</v>
      </c>
      <c r="F30" s="27">
        <v>0.001</v>
      </c>
      <c r="G30" s="11"/>
      <c r="H30" s="26"/>
      <c r="I30" s="24">
        <f t="shared" si="2"/>
        <v>8</v>
      </c>
      <c r="J30" s="25">
        <f t="shared" si="3"/>
        <v>1</v>
      </c>
    </row>
    <row r="31">
      <c r="A31" s="16">
        <v>7533.0</v>
      </c>
      <c r="B31" s="6" t="s">
        <v>14</v>
      </c>
      <c r="C31" s="6" t="s">
        <v>67</v>
      </c>
      <c r="D31" s="6" t="s">
        <v>37</v>
      </c>
      <c r="E31" s="18">
        <f t="shared" si="1"/>
        <v>1</v>
      </c>
      <c r="F31" s="27">
        <v>0.001</v>
      </c>
      <c r="G31" s="11"/>
      <c r="H31" s="26"/>
      <c r="I31" s="24">
        <f t="shared" si="2"/>
        <v>8</v>
      </c>
      <c r="J31" s="25">
        <f t="shared" si="3"/>
        <v>1</v>
      </c>
    </row>
    <row r="32">
      <c r="A32" s="16">
        <v>7172.0</v>
      </c>
      <c r="B32" s="6" t="s">
        <v>14</v>
      </c>
      <c r="C32" s="6" t="s">
        <v>68</v>
      </c>
      <c r="D32" s="6" t="s">
        <v>37</v>
      </c>
      <c r="E32" s="18">
        <f t="shared" si="1"/>
        <v>1</v>
      </c>
      <c r="F32" s="27">
        <v>0.001</v>
      </c>
      <c r="G32" s="11"/>
      <c r="H32" s="26"/>
      <c r="I32" s="24">
        <f t="shared" si="2"/>
        <v>8</v>
      </c>
      <c r="J32" s="25">
        <f t="shared" si="3"/>
        <v>1</v>
      </c>
    </row>
    <row r="33">
      <c r="A33" s="16">
        <v>6650.0</v>
      </c>
      <c r="B33" s="6" t="s">
        <v>14</v>
      </c>
      <c r="C33" s="6" t="s">
        <v>69</v>
      </c>
      <c r="D33" s="6" t="s">
        <v>43</v>
      </c>
      <c r="E33" s="18">
        <f t="shared" si="1"/>
        <v>1</v>
      </c>
      <c r="F33" s="27">
        <v>0.001</v>
      </c>
      <c r="G33" s="11"/>
      <c r="H33" s="26"/>
      <c r="I33" s="24">
        <f t="shared" si="2"/>
        <v>8</v>
      </c>
      <c r="J33" s="25">
        <f t="shared" si="3"/>
        <v>1</v>
      </c>
    </row>
    <row r="34">
      <c r="A34" s="16">
        <v>2809.0</v>
      </c>
      <c r="B34" s="6" t="s">
        <v>14</v>
      </c>
      <c r="C34" s="6" t="s">
        <v>70</v>
      </c>
      <c r="D34" s="6" t="s">
        <v>29</v>
      </c>
      <c r="E34" s="18">
        <f t="shared" si="1"/>
        <v>1</v>
      </c>
      <c r="F34" s="27">
        <v>0.001</v>
      </c>
      <c r="G34" s="11"/>
      <c r="H34" s="26"/>
      <c r="I34" s="24">
        <f t="shared" si="2"/>
        <v>8</v>
      </c>
      <c r="J34" s="25">
        <f t="shared" si="3"/>
        <v>1</v>
      </c>
    </row>
    <row r="35">
      <c r="A35" s="16">
        <v>6403.0</v>
      </c>
      <c r="B35" s="6" t="s">
        <v>14</v>
      </c>
      <c r="C35" s="6" t="s">
        <v>71</v>
      </c>
      <c r="D35" s="6" t="s">
        <v>35</v>
      </c>
      <c r="E35" s="18">
        <f t="shared" si="1"/>
        <v>1</v>
      </c>
      <c r="F35" s="27">
        <v>0.001</v>
      </c>
      <c r="G35" s="11"/>
      <c r="H35" s="26"/>
      <c r="I35" s="24">
        <f t="shared" si="2"/>
        <v>8</v>
      </c>
      <c r="J35" s="25">
        <f t="shared" si="3"/>
        <v>1</v>
      </c>
    </row>
    <row r="36">
      <c r="A36" s="16">
        <v>158.0</v>
      </c>
      <c r="B36" s="6" t="s">
        <v>14</v>
      </c>
      <c r="C36" s="6" t="s">
        <v>72</v>
      </c>
      <c r="D36" s="6" t="s">
        <v>35</v>
      </c>
      <c r="E36" s="18">
        <f t="shared" si="1"/>
        <v>1</v>
      </c>
      <c r="F36" s="27">
        <v>0.001</v>
      </c>
      <c r="G36" s="11"/>
      <c r="H36" s="26"/>
      <c r="I36" s="24">
        <f t="shared" si="2"/>
        <v>8</v>
      </c>
      <c r="J36" s="25">
        <f t="shared" si="3"/>
        <v>1</v>
      </c>
    </row>
    <row r="37">
      <c r="A37" s="16">
        <v>7466.0</v>
      </c>
      <c r="B37" s="6" t="s">
        <v>14</v>
      </c>
      <c r="C37" s="6" t="s">
        <v>73</v>
      </c>
      <c r="D37" s="6" t="s">
        <v>63</v>
      </c>
      <c r="E37" s="18">
        <f t="shared" si="1"/>
        <v>1</v>
      </c>
      <c r="F37" s="27">
        <v>0.001</v>
      </c>
      <c r="G37" s="11"/>
      <c r="H37" s="26"/>
      <c r="I37" s="24">
        <f t="shared" si="2"/>
        <v>8</v>
      </c>
      <c r="J37" s="25">
        <f t="shared" si="3"/>
        <v>1</v>
      </c>
    </row>
    <row r="38">
      <c r="A38" s="16">
        <v>219.0</v>
      </c>
      <c r="B38" s="6" t="s">
        <v>14</v>
      </c>
      <c r="C38" s="6" t="s">
        <v>74</v>
      </c>
      <c r="D38" s="6" t="s">
        <v>47</v>
      </c>
      <c r="E38" s="18">
        <f t="shared" si="1"/>
        <v>1</v>
      </c>
      <c r="F38" s="27">
        <v>0.001</v>
      </c>
      <c r="G38" s="11"/>
      <c r="H38" s="26"/>
      <c r="I38" s="24">
        <f t="shared" si="2"/>
        <v>8</v>
      </c>
      <c r="J38" s="25">
        <f t="shared" si="3"/>
        <v>1</v>
      </c>
    </row>
    <row r="39">
      <c r="A39" s="16">
        <v>6569.0</v>
      </c>
      <c r="B39" s="6" t="s">
        <v>14</v>
      </c>
      <c r="C39" s="6" t="s">
        <v>75</v>
      </c>
      <c r="D39" s="6" t="s">
        <v>47</v>
      </c>
      <c r="E39" s="18">
        <f t="shared" si="1"/>
        <v>1</v>
      </c>
      <c r="F39" s="27">
        <v>0.001</v>
      </c>
      <c r="G39" s="11"/>
      <c r="H39" s="26"/>
      <c r="I39" s="24">
        <f t="shared" si="2"/>
        <v>8</v>
      </c>
      <c r="J39" s="25">
        <f t="shared" si="3"/>
        <v>1</v>
      </c>
    </row>
    <row r="40">
      <c r="A40" s="16">
        <v>1926.0</v>
      </c>
      <c r="B40" s="6" t="s">
        <v>14</v>
      </c>
      <c r="C40" s="6" t="s">
        <v>76</v>
      </c>
      <c r="D40" s="6" t="s">
        <v>19</v>
      </c>
      <c r="E40" s="18">
        <f t="shared" si="1"/>
        <v>1</v>
      </c>
      <c r="F40" s="27">
        <v>0.001</v>
      </c>
      <c r="G40" s="11"/>
      <c r="H40" s="26"/>
      <c r="I40" s="24">
        <f t="shared" si="2"/>
        <v>8</v>
      </c>
      <c r="J40" s="25">
        <f t="shared" si="3"/>
        <v>1</v>
      </c>
    </row>
    <row r="41">
      <c r="A41" s="16">
        <v>1930.0</v>
      </c>
      <c r="B41" s="6" t="s">
        <v>14</v>
      </c>
      <c r="C41" s="6" t="s">
        <v>77</v>
      </c>
      <c r="D41" s="6" t="s">
        <v>21</v>
      </c>
      <c r="E41" s="18">
        <f t="shared" si="1"/>
        <v>1</v>
      </c>
      <c r="F41" s="27">
        <v>0.001</v>
      </c>
      <c r="G41" s="11"/>
      <c r="H41" s="26"/>
      <c r="I41" s="24">
        <f t="shared" si="2"/>
        <v>8</v>
      </c>
      <c r="J41" s="25">
        <f t="shared" si="3"/>
        <v>1</v>
      </c>
    </row>
    <row r="42">
      <c r="A42" s="16">
        <v>7337.0</v>
      </c>
      <c r="B42" s="6" t="s">
        <v>14</v>
      </c>
      <c r="C42" s="6" t="s">
        <v>78</v>
      </c>
      <c r="D42" s="6" t="s">
        <v>31</v>
      </c>
      <c r="E42" s="18">
        <f t="shared" si="1"/>
        <v>1</v>
      </c>
      <c r="F42" s="27">
        <v>0.001</v>
      </c>
      <c r="G42" s="11"/>
      <c r="H42" s="26"/>
      <c r="I42" s="24">
        <f t="shared" si="2"/>
        <v>8</v>
      </c>
      <c r="J42" s="25">
        <f t="shared" si="3"/>
        <v>1</v>
      </c>
    </row>
    <row r="43">
      <c r="A43" s="16">
        <v>7534.0</v>
      </c>
      <c r="B43" s="6" t="s">
        <v>14</v>
      </c>
      <c r="C43" s="6" t="s">
        <v>79</v>
      </c>
      <c r="D43" s="6" t="s">
        <v>31</v>
      </c>
      <c r="E43" s="18">
        <f t="shared" si="1"/>
        <v>1</v>
      </c>
      <c r="F43" s="27">
        <v>0.001</v>
      </c>
      <c r="G43" s="11"/>
      <c r="H43" s="26"/>
      <c r="I43" s="24">
        <f t="shared" si="2"/>
        <v>8</v>
      </c>
      <c r="J43" s="25">
        <f t="shared" si="3"/>
        <v>1</v>
      </c>
    </row>
    <row r="44">
      <c r="A44" s="16">
        <v>2815.0</v>
      </c>
      <c r="B44" s="6" t="s">
        <v>14</v>
      </c>
      <c r="C44" s="6" t="s">
        <v>80</v>
      </c>
      <c r="D44" s="6" t="s">
        <v>23</v>
      </c>
      <c r="E44" s="18">
        <f t="shared" si="1"/>
        <v>1</v>
      </c>
      <c r="F44" s="27">
        <v>0.001</v>
      </c>
      <c r="G44" s="11"/>
      <c r="H44" s="26"/>
      <c r="I44" s="24">
        <f t="shared" si="2"/>
        <v>8</v>
      </c>
      <c r="J44" s="25">
        <f t="shared" si="3"/>
        <v>1</v>
      </c>
    </row>
    <row r="45">
      <c r="A45" s="16">
        <v>6813.0</v>
      </c>
      <c r="B45" s="6" t="s">
        <v>14</v>
      </c>
      <c r="C45" s="6" t="s">
        <v>81</v>
      </c>
      <c r="D45" s="6" t="s">
        <v>23</v>
      </c>
      <c r="E45" s="18">
        <f t="shared" si="1"/>
        <v>1</v>
      </c>
      <c r="F45" s="27">
        <v>0.001</v>
      </c>
      <c r="G45" s="11"/>
      <c r="H45" s="26"/>
      <c r="I45" s="24">
        <f t="shared" si="2"/>
        <v>8</v>
      </c>
      <c r="J45" s="25">
        <f t="shared" si="3"/>
        <v>1</v>
      </c>
    </row>
    <row r="46">
      <c r="A46" s="16">
        <v>7475.0</v>
      </c>
      <c r="B46" s="6" t="s">
        <v>14</v>
      </c>
      <c r="C46" s="6" t="s">
        <v>82</v>
      </c>
      <c r="D46" s="6" t="s">
        <v>52</v>
      </c>
      <c r="E46" s="18">
        <f t="shared" si="1"/>
        <v>1</v>
      </c>
      <c r="F46" s="27">
        <v>0.001</v>
      </c>
      <c r="G46" s="11"/>
      <c r="H46" s="26"/>
      <c r="I46" s="24">
        <f t="shared" si="2"/>
        <v>8</v>
      </c>
      <c r="J46" s="25">
        <f t="shared" si="3"/>
        <v>1</v>
      </c>
    </row>
    <row r="47">
      <c r="A47" s="16">
        <v>2845.0</v>
      </c>
      <c r="B47" s="6" t="s">
        <v>14</v>
      </c>
      <c r="C47" s="6" t="s">
        <v>83</v>
      </c>
      <c r="D47" s="6" t="s">
        <v>27</v>
      </c>
      <c r="E47" s="18">
        <f t="shared" si="1"/>
        <v>1</v>
      </c>
      <c r="F47" s="27">
        <v>0.001</v>
      </c>
      <c r="G47" s="11"/>
      <c r="H47" s="26"/>
      <c r="I47" s="24">
        <f t="shared" si="2"/>
        <v>8</v>
      </c>
      <c r="J47" s="25">
        <f t="shared" si="3"/>
        <v>1</v>
      </c>
    </row>
    <row r="48">
      <c r="A48" s="16">
        <v>7048.0</v>
      </c>
      <c r="B48" s="6" t="s">
        <v>14</v>
      </c>
      <c r="C48" s="6" t="s">
        <v>84</v>
      </c>
      <c r="D48" s="6" t="s">
        <v>16</v>
      </c>
      <c r="E48" s="18">
        <f t="shared" si="1"/>
        <v>1</v>
      </c>
      <c r="F48" s="27">
        <v>0.001</v>
      </c>
      <c r="G48" s="11"/>
      <c r="H48" s="26"/>
      <c r="I48" s="24">
        <f t="shared" si="2"/>
        <v>8</v>
      </c>
      <c r="J48" s="25">
        <f t="shared" si="3"/>
        <v>1</v>
      </c>
    </row>
    <row r="49">
      <c r="A49" s="16">
        <v>610.0</v>
      </c>
      <c r="B49" s="6" t="s">
        <v>14</v>
      </c>
      <c r="C49" s="6" t="s">
        <v>85</v>
      </c>
      <c r="D49" s="6" t="s">
        <v>16</v>
      </c>
      <c r="E49" s="18">
        <f t="shared" si="1"/>
        <v>1</v>
      </c>
      <c r="F49" s="27">
        <v>0.001</v>
      </c>
      <c r="G49" s="11"/>
      <c r="H49" s="26"/>
      <c r="I49" s="24">
        <f t="shared" si="2"/>
        <v>8</v>
      </c>
      <c r="J49" s="25">
        <f t="shared" si="3"/>
        <v>1</v>
      </c>
    </row>
    <row r="50">
      <c r="A50" s="16">
        <v>4518.0</v>
      </c>
      <c r="B50" s="6" t="s">
        <v>14</v>
      </c>
      <c r="C50" s="6" t="s">
        <v>86</v>
      </c>
      <c r="D50" s="6" t="s">
        <v>59</v>
      </c>
      <c r="E50" s="18">
        <f t="shared" si="1"/>
        <v>1</v>
      </c>
      <c r="F50" s="27">
        <v>0.001</v>
      </c>
      <c r="G50" s="11"/>
      <c r="H50" s="26"/>
      <c r="I50" s="24">
        <f t="shared" si="2"/>
        <v>8</v>
      </c>
      <c r="J50" s="25">
        <f t="shared" si="3"/>
        <v>1</v>
      </c>
    </row>
    <row r="51">
      <c r="A51" s="16">
        <v>4867.0</v>
      </c>
      <c r="B51" s="6" t="s">
        <v>14</v>
      </c>
      <c r="C51" s="6" t="s">
        <v>87</v>
      </c>
      <c r="D51" s="6" t="s">
        <v>59</v>
      </c>
      <c r="E51" s="18">
        <f t="shared" si="1"/>
        <v>1</v>
      </c>
      <c r="F51" s="27">
        <v>0.001</v>
      </c>
      <c r="G51" s="11"/>
      <c r="H51" s="26"/>
      <c r="I51" s="24">
        <f t="shared" si="2"/>
        <v>8</v>
      </c>
      <c r="J51" s="25">
        <f t="shared" si="3"/>
        <v>1</v>
      </c>
    </row>
    <row r="52">
      <c r="A52" s="16">
        <v>7363.0</v>
      </c>
      <c r="B52" s="6" t="s">
        <v>14</v>
      </c>
      <c r="C52" s="6" t="s">
        <v>88</v>
      </c>
      <c r="D52" s="6" t="s">
        <v>56</v>
      </c>
      <c r="E52" s="18">
        <f t="shared" si="1"/>
        <v>1</v>
      </c>
      <c r="F52" s="27">
        <v>0.001</v>
      </c>
      <c r="G52" s="11"/>
      <c r="H52" s="26"/>
      <c r="I52" s="24">
        <f t="shared" si="2"/>
        <v>8</v>
      </c>
      <c r="J52" s="25">
        <f t="shared" si="3"/>
        <v>1</v>
      </c>
    </row>
    <row r="53">
      <c r="A53" s="16">
        <v>543.0</v>
      </c>
      <c r="B53" s="6" t="s">
        <v>14</v>
      </c>
      <c r="C53" s="6" t="s">
        <v>89</v>
      </c>
      <c r="D53" s="6" t="s">
        <v>39</v>
      </c>
      <c r="E53" s="18">
        <f t="shared" si="1"/>
        <v>1</v>
      </c>
      <c r="F53" s="27">
        <v>0.001</v>
      </c>
      <c r="G53" s="11"/>
      <c r="H53" s="26"/>
      <c r="I53" s="24">
        <f t="shared" si="2"/>
        <v>8</v>
      </c>
      <c r="J53" s="25">
        <f t="shared" si="3"/>
        <v>1</v>
      </c>
    </row>
    <row r="54">
      <c r="A54" s="16">
        <v>5707.0</v>
      </c>
      <c r="B54" s="6" t="s">
        <v>14</v>
      </c>
      <c r="C54" s="6" t="s">
        <v>90</v>
      </c>
      <c r="D54" s="6" t="s">
        <v>39</v>
      </c>
      <c r="E54" s="18">
        <f t="shared" si="1"/>
        <v>1</v>
      </c>
      <c r="F54" s="27">
        <v>0.001</v>
      </c>
      <c r="G54" s="11"/>
      <c r="H54" s="26"/>
      <c r="I54" s="24">
        <f t="shared" si="2"/>
        <v>8</v>
      </c>
      <c r="J54" s="25">
        <f t="shared" si="3"/>
        <v>1</v>
      </c>
    </row>
    <row r="55">
      <c r="A55" s="16">
        <v>6671.0</v>
      </c>
      <c r="B55" s="6" t="s">
        <v>14</v>
      </c>
      <c r="C55" s="6" t="s">
        <v>91</v>
      </c>
      <c r="D55" s="6" t="s">
        <v>54</v>
      </c>
      <c r="E55" s="18">
        <f t="shared" si="1"/>
        <v>1</v>
      </c>
      <c r="F55" s="27">
        <v>0.001</v>
      </c>
      <c r="G55" s="11"/>
      <c r="H55" s="26"/>
      <c r="I55" s="24">
        <f t="shared" si="2"/>
        <v>8</v>
      </c>
      <c r="J55" s="25">
        <f t="shared" si="3"/>
        <v>1</v>
      </c>
    </row>
    <row r="56">
      <c r="A56" s="16">
        <v>7531.0</v>
      </c>
      <c r="B56" s="6" t="s">
        <v>14</v>
      </c>
      <c r="C56" s="6" t="s">
        <v>92</v>
      </c>
      <c r="D56" s="6" t="s">
        <v>54</v>
      </c>
      <c r="E56" s="18">
        <f t="shared" si="1"/>
        <v>1</v>
      </c>
      <c r="F56" s="27">
        <v>0.001</v>
      </c>
      <c r="G56" s="11"/>
      <c r="H56" s="26"/>
      <c r="I56" s="24">
        <f t="shared" si="2"/>
        <v>8</v>
      </c>
      <c r="J56" s="25">
        <f t="shared" si="3"/>
        <v>1</v>
      </c>
    </row>
    <row r="57">
      <c r="A57" s="16">
        <v>2127.0</v>
      </c>
      <c r="B57" s="6" t="s">
        <v>14</v>
      </c>
      <c r="C57" s="6" t="s">
        <v>93</v>
      </c>
      <c r="D57" s="6" t="s">
        <v>59</v>
      </c>
      <c r="E57" s="18">
        <f t="shared" si="1"/>
        <v>1</v>
      </c>
      <c r="F57" s="27">
        <v>0.001</v>
      </c>
      <c r="G57" s="11"/>
      <c r="H57" s="26"/>
      <c r="I57" s="24">
        <f t="shared" si="2"/>
        <v>8</v>
      </c>
      <c r="J57" s="25">
        <f t="shared" si="3"/>
        <v>1</v>
      </c>
    </row>
    <row r="58">
      <c r="A58" s="16">
        <v>7557.0</v>
      </c>
      <c r="B58" s="6" t="s">
        <v>14</v>
      </c>
      <c r="C58" s="6" t="s">
        <v>94</v>
      </c>
      <c r="D58" s="6" t="s">
        <v>41</v>
      </c>
      <c r="E58" s="18">
        <f t="shared" si="1"/>
        <v>1</v>
      </c>
      <c r="F58" s="27">
        <v>0.001</v>
      </c>
      <c r="G58" s="11"/>
      <c r="H58" s="26"/>
      <c r="I58" s="24">
        <f t="shared" si="2"/>
        <v>8</v>
      </c>
      <c r="J58" s="25">
        <f t="shared" si="3"/>
        <v>1</v>
      </c>
    </row>
    <row r="59">
      <c r="A59" s="16">
        <v>7560.0</v>
      </c>
      <c r="B59" s="6" t="s">
        <v>14</v>
      </c>
      <c r="C59" s="6" t="s">
        <v>95</v>
      </c>
      <c r="D59" s="6" t="s">
        <v>63</v>
      </c>
      <c r="E59" s="18">
        <f t="shared" si="1"/>
        <v>1</v>
      </c>
      <c r="F59" s="27">
        <v>0.001</v>
      </c>
      <c r="G59" s="11"/>
      <c r="H59" s="26"/>
      <c r="I59" s="24">
        <f t="shared" si="2"/>
        <v>8</v>
      </c>
      <c r="J59" s="25">
        <f t="shared" si="3"/>
        <v>1</v>
      </c>
    </row>
    <row r="60">
      <c r="A60" s="16">
        <v>3.0</v>
      </c>
      <c r="B60" s="6" t="s">
        <v>14</v>
      </c>
      <c r="C60" s="6" t="s">
        <v>96</v>
      </c>
      <c r="D60" s="6" t="s">
        <v>43</v>
      </c>
      <c r="E60" s="18">
        <f t="shared" si="1"/>
        <v>1</v>
      </c>
      <c r="F60" s="27">
        <v>0.001</v>
      </c>
      <c r="G60" s="11"/>
      <c r="H60" s="26"/>
      <c r="I60" s="24">
        <f t="shared" si="2"/>
        <v>8</v>
      </c>
      <c r="J60" s="25">
        <f t="shared" si="3"/>
        <v>1</v>
      </c>
    </row>
    <row r="61">
      <c r="A61" s="16">
        <v>4957.0</v>
      </c>
      <c r="B61" s="6" t="s">
        <v>14</v>
      </c>
      <c r="C61" s="6" t="s">
        <v>97</v>
      </c>
      <c r="D61" s="6" t="s">
        <v>54</v>
      </c>
      <c r="E61" s="18">
        <f t="shared" si="1"/>
        <v>1</v>
      </c>
      <c r="F61" s="27">
        <v>0.001</v>
      </c>
      <c r="G61" s="11"/>
      <c r="H61" s="26"/>
      <c r="I61" s="24">
        <f t="shared" si="2"/>
        <v>8</v>
      </c>
      <c r="J61" s="25">
        <f t="shared" si="3"/>
        <v>1</v>
      </c>
    </row>
    <row r="62">
      <c r="A62" s="16">
        <v>4468.0</v>
      </c>
      <c r="B62" s="6" t="s">
        <v>14</v>
      </c>
      <c r="C62" s="6" t="s">
        <v>98</v>
      </c>
      <c r="D62" s="6" t="s">
        <v>41</v>
      </c>
      <c r="E62" s="18">
        <f t="shared" si="1"/>
        <v>1</v>
      </c>
      <c r="F62" s="27">
        <v>0.001</v>
      </c>
      <c r="G62" s="11"/>
      <c r="H62" s="26"/>
      <c r="I62" s="24">
        <f t="shared" si="2"/>
        <v>8</v>
      </c>
      <c r="J62" s="25">
        <f t="shared" si="3"/>
        <v>1</v>
      </c>
    </row>
    <row r="63">
      <c r="A63" s="16">
        <v>7603.0</v>
      </c>
      <c r="B63" s="6" t="s">
        <v>14</v>
      </c>
      <c r="C63" s="6" t="s">
        <v>99</v>
      </c>
      <c r="D63" s="6" t="s">
        <v>21</v>
      </c>
      <c r="E63" s="18">
        <f t="shared" si="1"/>
        <v>1</v>
      </c>
      <c r="F63" s="27">
        <v>0.001</v>
      </c>
      <c r="G63" s="11"/>
      <c r="H63" s="26"/>
      <c r="I63" s="24">
        <f t="shared" si="2"/>
        <v>8</v>
      </c>
      <c r="J63" s="25">
        <f t="shared" si="3"/>
        <v>1</v>
      </c>
    </row>
    <row r="64">
      <c r="A64" s="16">
        <v>7611.0</v>
      </c>
      <c r="B64" s="6" t="s">
        <v>14</v>
      </c>
      <c r="C64" s="6" t="s">
        <v>100</v>
      </c>
      <c r="D64" s="6" t="s">
        <v>39</v>
      </c>
      <c r="E64" s="18">
        <f t="shared" si="1"/>
        <v>1</v>
      </c>
      <c r="F64" s="27">
        <v>0.001</v>
      </c>
      <c r="G64" s="11"/>
      <c r="H64" s="26"/>
      <c r="I64" s="24">
        <f t="shared" si="2"/>
        <v>8</v>
      </c>
      <c r="J64" s="25">
        <f t="shared" si="3"/>
        <v>1</v>
      </c>
    </row>
    <row r="65">
      <c r="A65" s="16">
        <v>2874.0</v>
      </c>
      <c r="B65" s="6" t="s">
        <v>14</v>
      </c>
      <c r="C65" s="6" t="s">
        <v>101</v>
      </c>
      <c r="D65" s="6" t="s">
        <v>50</v>
      </c>
      <c r="E65" s="18">
        <f t="shared" si="1"/>
        <v>1</v>
      </c>
      <c r="F65" s="27">
        <v>0.001</v>
      </c>
      <c r="G65" s="11"/>
      <c r="H65" s="26"/>
      <c r="I65" s="24">
        <f t="shared" si="2"/>
        <v>8</v>
      </c>
      <c r="J65" s="25">
        <f t="shared" si="3"/>
        <v>1</v>
      </c>
    </row>
    <row r="66">
      <c r="A66" s="16">
        <v>7626.0</v>
      </c>
      <c r="B66" s="6" t="s">
        <v>14</v>
      </c>
      <c r="C66" s="6" t="s">
        <v>102</v>
      </c>
      <c r="D66" s="6" t="s">
        <v>25</v>
      </c>
      <c r="E66" s="18">
        <f t="shared" si="1"/>
        <v>1</v>
      </c>
      <c r="F66" s="27">
        <v>0.001</v>
      </c>
      <c r="G66" s="11"/>
      <c r="H66" s="26"/>
      <c r="I66" s="24">
        <f t="shared" si="2"/>
        <v>8</v>
      </c>
      <c r="J66" s="25">
        <f t="shared" si="3"/>
        <v>1</v>
      </c>
    </row>
    <row r="67">
      <c r="A67" s="28">
        <v>254.0</v>
      </c>
      <c r="B67" s="6" t="s">
        <v>103</v>
      </c>
      <c r="C67" s="6" t="s">
        <v>104</v>
      </c>
      <c r="D67" s="6" t="s">
        <v>19</v>
      </c>
      <c r="E67" s="18">
        <f t="shared" si="1"/>
        <v>90</v>
      </c>
      <c r="F67" s="19">
        <v>0.15</v>
      </c>
      <c r="G67" s="21" t="s">
        <v>17</v>
      </c>
      <c r="H67" s="26"/>
      <c r="I67" s="24">
        <f t="shared" si="2"/>
        <v>1</v>
      </c>
      <c r="J67" s="25">
        <f t="shared" si="3"/>
        <v>2</v>
      </c>
    </row>
    <row r="68">
      <c r="A68" s="16">
        <v>7181.0</v>
      </c>
      <c r="B68" s="6" t="s">
        <v>103</v>
      </c>
      <c r="C68" s="6" t="s">
        <v>105</v>
      </c>
      <c r="D68" s="6" t="s">
        <v>16</v>
      </c>
      <c r="E68" s="18">
        <f t="shared" si="1"/>
        <v>60</v>
      </c>
      <c r="F68" s="19">
        <v>0.1</v>
      </c>
      <c r="G68" s="21" t="s">
        <v>17</v>
      </c>
      <c r="H68" s="26"/>
      <c r="I68" s="24">
        <f t="shared" si="2"/>
        <v>1</v>
      </c>
      <c r="J68" s="25">
        <f t="shared" si="3"/>
        <v>2</v>
      </c>
    </row>
    <row r="69">
      <c r="A69" s="16">
        <v>2788.0</v>
      </c>
      <c r="B69" s="6" t="s">
        <v>103</v>
      </c>
      <c r="C69" s="6" t="s">
        <v>106</v>
      </c>
      <c r="D69" s="6" t="s">
        <v>21</v>
      </c>
      <c r="E69" s="18">
        <f t="shared" si="1"/>
        <v>42</v>
      </c>
      <c r="F69" s="19">
        <v>0.07</v>
      </c>
      <c r="G69" s="21" t="s">
        <v>17</v>
      </c>
      <c r="H69" s="26"/>
      <c r="I69" s="24">
        <f t="shared" si="2"/>
        <v>1</v>
      </c>
      <c r="J69" s="25">
        <f t="shared" si="3"/>
        <v>2</v>
      </c>
    </row>
    <row r="70">
      <c r="A70" s="16">
        <v>4998.0</v>
      </c>
      <c r="B70" s="6" t="s">
        <v>103</v>
      </c>
      <c r="C70" s="6" t="s">
        <v>107</v>
      </c>
      <c r="D70" s="6" t="s">
        <v>16</v>
      </c>
      <c r="E70" s="18">
        <f t="shared" si="1"/>
        <v>36</v>
      </c>
      <c r="F70" s="19">
        <v>0.06</v>
      </c>
      <c r="G70" s="21" t="s">
        <v>17</v>
      </c>
      <c r="H70" s="26"/>
      <c r="I70" s="24">
        <f t="shared" si="2"/>
        <v>1</v>
      </c>
      <c r="J70" s="25">
        <f t="shared" si="3"/>
        <v>2</v>
      </c>
    </row>
    <row r="71">
      <c r="A71" s="16">
        <v>2296.0</v>
      </c>
      <c r="B71" s="6" t="s">
        <v>103</v>
      </c>
      <c r="C71" s="6" t="s">
        <v>108</v>
      </c>
      <c r="D71" s="6" t="s">
        <v>16</v>
      </c>
      <c r="E71" s="18">
        <f t="shared" si="1"/>
        <v>36</v>
      </c>
      <c r="F71" s="19">
        <v>0.06</v>
      </c>
      <c r="G71" s="21" t="s">
        <v>17</v>
      </c>
      <c r="H71" s="26"/>
      <c r="I71" s="24">
        <f t="shared" si="2"/>
        <v>1</v>
      </c>
      <c r="J71" s="25">
        <f t="shared" si="3"/>
        <v>2</v>
      </c>
    </row>
    <row r="72">
      <c r="A72" s="16">
        <v>2120.0</v>
      </c>
      <c r="B72" s="6" t="s">
        <v>103</v>
      </c>
      <c r="C72" s="6" t="s">
        <v>109</v>
      </c>
      <c r="D72" s="6" t="s">
        <v>19</v>
      </c>
      <c r="E72" s="18">
        <f t="shared" si="1"/>
        <v>36</v>
      </c>
      <c r="F72" s="19">
        <v>0.06</v>
      </c>
      <c r="G72" s="21" t="s">
        <v>17</v>
      </c>
      <c r="H72" s="26"/>
      <c r="I72" s="24">
        <f t="shared" si="2"/>
        <v>1</v>
      </c>
      <c r="J72" s="25">
        <f t="shared" si="3"/>
        <v>2</v>
      </c>
    </row>
    <row r="73">
      <c r="A73" s="16">
        <v>5022.0</v>
      </c>
      <c r="B73" s="6" t="s">
        <v>103</v>
      </c>
      <c r="C73" s="6" t="s">
        <v>110</v>
      </c>
      <c r="D73" s="6" t="s">
        <v>23</v>
      </c>
      <c r="E73" s="18">
        <f t="shared" si="1"/>
        <v>36</v>
      </c>
      <c r="F73" s="19">
        <v>0.06</v>
      </c>
      <c r="G73" s="21" t="s">
        <v>17</v>
      </c>
      <c r="H73" s="26"/>
      <c r="I73" s="24">
        <f t="shared" si="2"/>
        <v>1</v>
      </c>
      <c r="J73" s="25">
        <f t="shared" si="3"/>
        <v>2</v>
      </c>
    </row>
    <row r="74">
      <c r="A74" s="16">
        <v>6956.0</v>
      </c>
      <c r="B74" s="6" t="s">
        <v>103</v>
      </c>
      <c r="C74" s="6" t="s">
        <v>111</v>
      </c>
      <c r="D74" s="6" t="s">
        <v>39</v>
      </c>
      <c r="E74" s="18">
        <f t="shared" si="1"/>
        <v>27</v>
      </c>
      <c r="F74" s="19">
        <v>0.045</v>
      </c>
      <c r="G74" s="21" t="s">
        <v>17</v>
      </c>
      <c r="H74" s="26"/>
      <c r="I74" s="24">
        <f t="shared" si="2"/>
        <v>1</v>
      </c>
      <c r="J74" s="25">
        <f t="shared" si="3"/>
        <v>2</v>
      </c>
    </row>
    <row r="75">
      <c r="A75" s="16">
        <v>4159.0</v>
      </c>
      <c r="B75" s="6" t="s">
        <v>103</v>
      </c>
      <c r="C75" s="6" t="s">
        <v>112</v>
      </c>
      <c r="D75" s="6" t="s">
        <v>19</v>
      </c>
      <c r="E75" s="18">
        <f t="shared" si="1"/>
        <v>24</v>
      </c>
      <c r="F75" s="19">
        <v>0.04</v>
      </c>
      <c r="G75" s="21" t="s">
        <v>17</v>
      </c>
      <c r="H75" s="26"/>
      <c r="I75" s="24">
        <f t="shared" si="2"/>
        <v>1</v>
      </c>
      <c r="J75" s="25">
        <f t="shared" si="3"/>
        <v>2</v>
      </c>
    </row>
    <row r="76">
      <c r="A76" s="16">
        <v>4409.0</v>
      </c>
      <c r="B76" s="6" t="s">
        <v>103</v>
      </c>
      <c r="C76" s="6" t="s">
        <v>113</v>
      </c>
      <c r="D76" s="6" t="s">
        <v>27</v>
      </c>
      <c r="E76" s="18">
        <f t="shared" si="1"/>
        <v>24</v>
      </c>
      <c r="F76" s="19">
        <v>0.04</v>
      </c>
      <c r="G76" s="21" t="s">
        <v>32</v>
      </c>
      <c r="H76" s="26"/>
      <c r="I76" s="24">
        <f t="shared" si="2"/>
        <v>2</v>
      </c>
      <c r="J76" s="25">
        <f t="shared" si="3"/>
        <v>2</v>
      </c>
    </row>
    <row r="77">
      <c r="A77" s="16">
        <v>4976.0</v>
      </c>
      <c r="B77" s="6" t="s">
        <v>103</v>
      </c>
      <c r="C77" s="6" t="s">
        <v>114</v>
      </c>
      <c r="D77" s="6" t="s">
        <v>21</v>
      </c>
      <c r="E77" s="18">
        <f t="shared" si="1"/>
        <v>24</v>
      </c>
      <c r="F77" s="19">
        <v>0.04</v>
      </c>
      <c r="G77" s="21" t="s">
        <v>32</v>
      </c>
      <c r="H77" s="26"/>
      <c r="I77" s="24">
        <f t="shared" si="2"/>
        <v>2</v>
      </c>
      <c r="J77" s="25">
        <f t="shared" si="3"/>
        <v>2</v>
      </c>
    </row>
    <row r="78">
      <c r="A78" s="16">
        <v>4317.0</v>
      </c>
      <c r="B78" s="6" t="s">
        <v>103</v>
      </c>
      <c r="C78" s="6" t="s">
        <v>115</v>
      </c>
      <c r="D78" s="6" t="s">
        <v>16</v>
      </c>
      <c r="E78" s="18">
        <f t="shared" si="1"/>
        <v>24</v>
      </c>
      <c r="F78" s="19">
        <v>0.04</v>
      </c>
      <c r="G78" s="21" t="s">
        <v>32</v>
      </c>
      <c r="H78" s="26"/>
      <c r="I78" s="24">
        <f t="shared" si="2"/>
        <v>2</v>
      </c>
      <c r="J78" s="25">
        <f t="shared" si="3"/>
        <v>2</v>
      </c>
    </row>
    <row r="79">
      <c r="A79" s="16">
        <v>2816.0</v>
      </c>
      <c r="B79" s="6" t="s">
        <v>103</v>
      </c>
      <c r="C79" s="6" t="s">
        <v>116</v>
      </c>
      <c r="D79" s="6" t="s">
        <v>27</v>
      </c>
      <c r="E79" s="18">
        <f t="shared" si="1"/>
        <v>24</v>
      </c>
      <c r="F79" s="19">
        <v>0.04</v>
      </c>
      <c r="G79" s="21" t="s">
        <v>32</v>
      </c>
      <c r="H79" s="26"/>
      <c r="I79" s="24">
        <f t="shared" si="2"/>
        <v>2</v>
      </c>
      <c r="J79" s="25">
        <f t="shared" si="3"/>
        <v>2</v>
      </c>
    </row>
    <row r="80">
      <c r="A80" s="16">
        <v>6869.0</v>
      </c>
      <c r="B80" s="6" t="s">
        <v>103</v>
      </c>
      <c r="C80" s="6" t="s">
        <v>117</v>
      </c>
      <c r="D80" s="6" t="s">
        <v>29</v>
      </c>
      <c r="E80" s="18">
        <f t="shared" si="1"/>
        <v>24</v>
      </c>
      <c r="F80" s="19">
        <v>0.04</v>
      </c>
      <c r="G80" s="21" t="s">
        <v>32</v>
      </c>
      <c r="H80" s="26"/>
      <c r="I80" s="24">
        <f t="shared" si="2"/>
        <v>2</v>
      </c>
      <c r="J80" s="25">
        <f t="shared" si="3"/>
        <v>2</v>
      </c>
    </row>
    <row r="81">
      <c r="A81" s="16">
        <v>6217.0</v>
      </c>
      <c r="B81" s="6" t="s">
        <v>103</v>
      </c>
      <c r="C81" s="6" t="s">
        <v>118</v>
      </c>
      <c r="D81" s="6" t="s">
        <v>19</v>
      </c>
      <c r="E81" s="18">
        <f t="shared" si="1"/>
        <v>22</v>
      </c>
      <c r="F81" s="27">
        <v>0.036</v>
      </c>
      <c r="G81" s="21" t="s">
        <v>32</v>
      </c>
      <c r="H81" s="26"/>
      <c r="I81" s="24">
        <f t="shared" si="2"/>
        <v>2</v>
      </c>
      <c r="J81" s="25">
        <f t="shared" si="3"/>
        <v>2</v>
      </c>
    </row>
    <row r="82">
      <c r="A82" s="16">
        <v>5982.0</v>
      </c>
      <c r="B82" s="6" t="s">
        <v>103</v>
      </c>
      <c r="C82" s="6" t="s">
        <v>119</v>
      </c>
      <c r="D82" s="6" t="s">
        <v>19</v>
      </c>
      <c r="E82" s="18">
        <f t="shared" si="1"/>
        <v>22</v>
      </c>
      <c r="F82" s="27">
        <v>0.037</v>
      </c>
      <c r="G82" s="21" t="s">
        <v>45</v>
      </c>
      <c r="H82" s="26"/>
      <c r="I82" s="24">
        <f t="shared" si="2"/>
        <v>3</v>
      </c>
      <c r="J82" s="25">
        <f t="shared" si="3"/>
        <v>2</v>
      </c>
    </row>
    <row r="83">
      <c r="A83" s="16">
        <v>5833.0</v>
      </c>
      <c r="B83" s="6" t="s">
        <v>103</v>
      </c>
      <c r="C83" s="6" t="s">
        <v>120</v>
      </c>
      <c r="D83" s="6" t="s">
        <v>23</v>
      </c>
      <c r="E83" s="18">
        <f t="shared" si="1"/>
        <v>21</v>
      </c>
      <c r="F83" s="19">
        <v>0.035</v>
      </c>
      <c r="G83" s="21" t="s">
        <v>32</v>
      </c>
      <c r="H83" s="26"/>
      <c r="I83" s="24">
        <f t="shared" si="2"/>
        <v>2</v>
      </c>
      <c r="J83" s="25">
        <f t="shared" si="3"/>
        <v>2</v>
      </c>
    </row>
    <row r="84">
      <c r="A84" s="16">
        <v>2514.0</v>
      </c>
      <c r="B84" s="6" t="s">
        <v>103</v>
      </c>
      <c r="C84" s="6" t="s">
        <v>121</v>
      </c>
      <c r="D84" s="6" t="s">
        <v>19</v>
      </c>
      <c r="E84" s="18">
        <f t="shared" si="1"/>
        <v>18</v>
      </c>
      <c r="F84" s="19">
        <v>0.03</v>
      </c>
      <c r="G84" s="21" t="s">
        <v>32</v>
      </c>
      <c r="H84" s="26"/>
      <c r="I84" s="24">
        <f t="shared" si="2"/>
        <v>2</v>
      </c>
      <c r="J84" s="25">
        <f t="shared" si="3"/>
        <v>2</v>
      </c>
    </row>
    <row r="85">
      <c r="A85" s="16">
        <v>5750.0</v>
      </c>
      <c r="B85" s="6" t="s">
        <v>103</v>
      </c>
      <c r="C85" s="6" t="s">
        <v>122</v>
      </c>
      <c r="D85" s="6" t="s">
        <v>47</v>
      </c>
      <c r="E85" s="18">
        <f t="shared" si="1"/>
        <v>18</v>
      </c>
      <c r="F85" s="19">
        <v>0.03</v>
      </c>
      <c r="G85" s="21" t="s">
        <v>32</v>
      </c>
      <c r="H85" s="26"/>
      <c r="I85" s="24">
        <f t="shared" si="2"/>
        <v>2</v>
      </c>
      <c r="J85" s="25">
        <f t="shared" si="3"/>
        <v>2</v>
      </c>
    </row>
    <row r="86">
      <c r="A86" s="16">
        <v>4807.0</v>
      </c>
      <c r="B86" s="6" t="s">
        <v>103</v>
      </c>
      <c r="C86" s="6" t="s">
        <v>123</v>
      </c>
      <c r="D86" s="6" t="s">
        <v>16</v>
      </c>
      <c r="E86" s="18">
        <f t="shared" si="1"/>
        <v>18</v>
      </c>
      <c r="F86" s="19">
        <v>0.03</v>
      </c>
      <c r="G86" s="21" t="s">
        <v>45</v>
      </c>
      <c r="H86" s="22" t="s">
        <v>33</v>
      </c>
      <c r="I86" s="24">
        <f t="shared" si="2"/>
        <v>3</v>
      </c>
      <c r="J86" s="25">
        <f t="shared" si="3"/>
        <v>2</v>
      </c>
    </row>
    <row r="87">
      <c r="A87" s="16">
        <v>5641.0</v>
      </c>
      <c r="B87" s="6" t="s">
        <v>103</v>
      </c>
      <c r="C87" s="6" t="s">
        <v>124</v>
      </c>
      <c r="D87" s="6" t="s">
        <v>29</v>
      </c>
      <c r="E87" s="18">
        <f t="shared" si="1"/>
        <v>18</v>
      </c>
      <c r="F87" s="19">
        <v>0.03</v>
      </c>
      <c r="G87" s="21" t="s">
        <v>32</v>
      </c>
      <c r="H87" s="26"/>
      <c r="I87" s="24">
        <f t="shared" si="2"/>
        <v>2</v>
      </c>
      <c r="J87" s="25">
        <f t="shared" si="3"/>
        <v>2</v>
      </c>
    </row>
    <row r="88">
      <c r="A88" s="16">
        <v>5514.0</v>
      </c>
      <c r="B88" s="6" t="s">
        <v>103</v>
      </c>
      <c r="C88" s="6" t="s">
        <v>125</v>
      </c>
      <c r="D88" s="6" t="s">
        <v>47</v>
      </c>
      <c r="E88" s="18">
        <f t="shared" si="1"/>
        <v>18</v>
      </c>
      <c r="F88" s="27">
        <v>0.03</v>
      </c>
      <c r="G88" s="21" t="s">
        <v>126</v>
      </c>
      <c r="H88" s="26"/>
      <c r="I88" s="24">
        <f t="shared" si="2"/>
        <v>5</v>
      </c>
      <c r="J88" s="25">
        <f t="shared" si="3"/>
        <v>2</v>
      </c>
    </row>
    <row r="89">
      <c r="A89" s="16">
        <v>4994.0</v>
      </c>
      <c r="B89" s="6" t="s">
        <v>103</v>
      </c>
      <c r="C89" s="6" t="s">
        <v>127</v>
      </c>
      <c r="D89" s="6" t="s">
        <v>39</v>
      </c>
      <c r="E89" s="18">
        <f t="shared" si="1"/>
        <v>18</v>
      </c>
      <c r="F89" s="19">
        <v>0.03</v>
      </c>
      <c r="G89" s="21" t="s">
        <v>45</v>
      </c>
      <c r="H89" s="26"/>
      <c r="I89" s="24">
        <f t="shared" si="2"/>
        <v>3</v>
      </c>
      <c r="J89" s="25">
        <f t="shared" si="3"/>
        <v>2</v>
      </c>
    </row>
    <row r="90">
      <c r="A90" s="16">
        <v>5555.0</v>
      </c>
      <c r="B90" s="6" t="s">
        <v>103</v>
      </c>
      <c r="C90" s="6" t="s">
        <v>128</v>
      </c>
      <c r="D90" s="6" t="s">
        <v>39</v>
      </c>
      <c r="E90" s="18">
        <f t="shared" si="1"/>
        <v>18</v>
      </c>
      <c r="F90" s="19">
        <v>0.03</v>
      </c>
      <c r="G90" s="21" t="s">
        <v>45</v>
      </c>
      <c r="H90" s="26"/>
      <c r="I90" s="24">
        <f t="shared" si="2"/>
        <v>3</v>
      </c>
      <c r="J90" s="25">
        <f t="shared" si="3"/>
        <v>2</v>
      </c>
    </row>
    <row r="91">
      <c r="A91" s="16">
        <v>554.0</v>
      </c>
      <c r="B91" s="6" t="s">
        <v>103</v>
      </c>
      <c r="C91" s="6" t="s">
        <v>129</v>
      </c>
      <c r="D91" s="6" t="s">
        <v>25</v>
      </c>
      <c r="E91" s="18">
        <f t="shared" si="1"/>
        <v>16</v>
      </c>
      <c r="F91" s="19">
        <v>0.026</v>
      </c>
      <c r="G91" s="21" t="s">
        <v>45</v>
      </c>
      <c r="H91" s="26"/>
      <c r="I91" s="24">
        <f t="shared" si="2"/>
        <v>3</v>
      </c>
      <c r="J91" s="25">
        <f t="shared" si="3"/>
        <v>2</v>
      </c>
    </row>
    <row r="92">
      <c r="A92" s="16">
        <v>5526.0</v>
      </c>
      <c r="B92" s="6" t="s">
        <v>103</v>
      </c>
      <c r="C92" s="6" t="s">
        <v>130</v>
      </c>
      <c r="D92" s="6" t="s">
        <v>25</v>
      </c>
      <c r="E92" s="18">
        <f t="shared" si="1"/>
        <v>15</v>
      </c>
      <c r="F92" s="19">
        <v>0.025</v>
      </c>
      <c r="G92" s="21" t="s">
        <v>45</v>
      </c>
      <c r="H92" s="26"/>
      <c r="I92" s="24">
        <f t="shared" si="2"/>
        <v>3</v>
      </c>
      <c r="J92" s="25">
        <f t="shared" si="3"/>
        <v>2</v>
      </c>
    </row>
    <row r="93">
      <c r="A93" s="16">
        <v>4734.0</v>
      </c>
      <c r="B93" s="6" t="s">
        <v>103</v>
      </c>
      <c r="C93" s="6" t="s">
        <v>131</v>
      </c>
      <c r="D93" s="6" t="s">
        <v>37</v>
      </c>
      <c r="E93" s="18">
        <f t="shared" si="1"/>
        <v>1</v>
      </c>
      <c r="F93" s="19">
        <v>0.002</v>
      </c>
      <c r="G93" s="21" t="s">
        <v>132</v>
      </c>
      <c r="H93" s="26"/>
      <c r="I93" s="24">
        <f t="shared" si="2"/>
        <v>6</v>
      </c>
      <c r="J93" s="25">
        <f t="shared" si="3"/>
        <v>2</v>
      </c>
    </row>
    <row r="94">
      <c r="A94" s="16">
        <v>6867.0</v>
      </c>
      <c r="B94" s="6" t="s">
        <v>103</v>
      </c>
      <c r="C94" s="6" t="s">
        <v>133</v>
      </c>
      <c r="D94" s="6" t="s">
        <v>29</v>
      </c>
      <c r="E94" s="18">
        <f t="shared" si="1"/>
        <v>13</v>
      </c>
      <c r="F94" s="27">
        <v>0.021</v>
      </c>
      <c r="G94" s="11"/>
      <c r="H94" s="26"/>
      <c r="I94" s="24">
        <f t="shared" si="2"/>
        <v>8</v>
      </c>
      <c r="J94" s="25">
        <f t="shared" si="3"/>
        <v>2</v>
      </c>
    </row>
    <row r="95">
      <c r="A95" s="16">
        <v>5520.0</v>
      </c>
      <c r="B95" s="6" t="s">
        <v>103</v>
      </c>
      <c r="C95" s="6" t="s">
        <v>134</v>
      </c>
      <c r="D95" s="6" t="s">
        <v>21</v>
      </c>
      <c r="E95" s="18">
        <f t="shared" si="1"/>
        <v>12</v>
      </c>
      <c r="F95" s="19">
        <v>0.02</v>
      </c>
      <c r="G95" s="21" t="s">
        <v>45</v>
      </c>
      <c r="H95" s="26"/>
      <c r="I95" s="24">
        <f t="shared" si="2"/>
        <v>3</v>
      </c>
      <c r="J95" s="25">
        <f t="shared" si="3"/>
        <v>2</v>
      </c>
    </row>
    <row r="96">
      <c r="A96" s="16">
        <v>1852.0</v>
      </c>
      <c r="B96" s="6" t="s">
        <v>103</v>
      </c>
      <c r="C96" s="6" t="s">
        <v>135</v>
      </c>
      <c r="D96" s="6" t="s">
        <v>27</v>
      </c>
      <c r="E96" s="18">
        <f t="shared" si="1"/>
        <v>12</v>
      </c>
      <c r="F96" s="19">
        <v>0.02</v>
      </c>
      <c r="G96" s="21" t="s">
        <v>45</v>
      </c>
      <c r="H96" s="26"/>
      <c r="I96" s="24">
        <f t="shared" si="2"/>
        <v>3</v>
      </c>
      <c r="J96" s="25">
        <f t="shared" si="3"/>
        <v>2</v>
      </c>
    </row>
    <row r="97">
      <c r="A97" s="16">
        <v>4210.0</v>
      </c>
      <c r="B97" s="6" t="s">
        <v>103</v>
      </c>
      <c r="C97" s="6" t="s">
        <v>136</v>
      </c>
      <c r="D97" s="6" t="s">
        <v>43</v>
      </c>
      <c r="E97" s="18">
        <f t="shared" si="1"/>
        <v>12</v>
      </c>
      <c r="F97" s="27">
        <v>0.02</v>
      </c>
      <c r="G97" s="11"/>
      <c r="H97" s="26"/>
      <c r="I97" s="24">
        <f t="shared" si="2"/>
        <v>8</v>
      </c>
      <c r="J97" s="25">
        <f t="shared" si="3"/>
        <v>2</v>
      </c>
    </row>
    <row r="98">
      <c r="A98" s="16">
        <v>5365.0</v>
      </c>
      <c r="B98" s="6" t="s">
        <v>103</v>
      </c>
      <c r="C98" s="6" t="s">
        <v>137</v>
      </c>
      <c r="D98" s="6" t="s">
        <v>35</v>
      </c>
      <c r="E98" s="18">
        <f t="shared" si="1"/>
        <v>12</v>
      </c>
      <c r="F98" s="27">
        <v>0.02</v>
      </c>
      <c r="G98" s="21" t="s">
        <v>45</v>
      </c>
      <c r="H98" s="26"/>
      <c r="I98" s="24">
        <f t="shared" si="2"/>
        <v>3</v>
      </c>
      <c r="J98" s="25">
        <f t="shared" si="3"/>
        <v>2</v>
      </c>
    </row>
    <row r="99">
      <c r="A99" s="16">
        <v>6531.0</v>
      </c>
      <c r="B99" s="6" t="s">
        <v>103</v>
      </c>
      <c r="C99" s="6" t="s">
        <v>138</v>
      </c>
      <c r="D99" s="6" t="s">
        <v>35</v>
      </c>
      <c r="E99" s="18">
        <f t="shared" si="1"/>
        <v>12</v>
      </c>
      <c r="F99" s="19">
        <v>0.02</v>
      </c>
      <c r="G99" s="21" t="s">
        <v>45</v>
      </c>
      <c r="H99" s="26"/>
      <c r="I99" s="24">
        <f t="shared" si="2"/>
        <v>3</v>
      </c>
      <c r="J99" s="25">
        <f t="shared" si="3"/>
        <v>2</v>
      </c>
    </row>
    <row r="100">
      <c r="A100" s="16">
        <v>5620.0</v>
      </c>
      <c r="B100" s="6" t="s">
        <v>103</v>
      </c>
      <c r="C100" s="6" t="s">
        <v>139</v>
      </c>
      <c r="D100" s="6" t="s">
        <v>31</v>
      </c>
      <c r="E100" s="18">
        <f t="shared" si="1"/>
        <v>12</v>
      </c>
      <c r="F100" s="19">
        <v>0.02</v>
      </c>
      <c r="G100" s="21" t="s">
        <v>45</v>
      </c>
      <c r="H100" s="26"/>
      <c r="I100" s="24">
        <f t="shared" si="2"/>
        <v>3</v>
      </c>
      <c r="J100" s="25">
        <f t="shared" si="3"/>
        <v>2</v>
      </c>
    </row>
    <row r="101">
      <c r="A101" s="16">
        <v>7220.0</v>
      </c>
      <c r="B101" s="6" t="s">
        <v>103</v>
      </c>
      <c r="C101" s="6" t="s">
        <v>140</v>
      </c>
      <c r="D101" s="6" t="s">
        <v>56</v>
      </c>
      <c r="E101" s="18">
        <f t="shared" si="1"/>
        <v>12</v>
      </c>
      <c r="F101" s="27">
        <v>0.02</v>
      </c>
      <c r="G101" s="11"/>
      <c r="H101" s="26"/>
      <c r="I101" s="24">
        <f t="shared" si="2"/>
        <v>8</v>
      </c>
      <c r="J101" s="25">
        <f t="shared" si="3"/>
        <v>2</v>
      </c>
    </row>
    <row r="102">
      <c r="A102" s="16">
        <v>5877.0</v>
      </c>
      <c r="B102" s="6" t="s">
        <v>103</v>
      </c>
      <c r="C102" s="6" t="s">
        <v>141</v>
      </c>
      <c r="D102" s="6" t="s">
        <v>19</v>
      </c>
      <c r="E102" s="18">
        <f t="shared" si="1"/>
        <v>12</v>
      </c>
      <c r="F102" s="27">
        <v>0.02</v>
      </c>
      <c r="G102" s="21" t="s">
        <v>126</v>
      </c>
      <c r="H102" s="26"/>
      <c r="I102" s="24">
        <f t="shared" si="2"/>
        <v>5</v>
      </c>
      <c r="J102" s="25">
        <f t="shared" si="3"/>
        <v>2</v>
      </c>
    </row>
    <row r="103">
      <c r="A103" s="16">
        <v>2188.0</v>
      </c>
      <c r="B103" s="6" t="s">
        <v>103</v>
      </c>
      <c r="C103" s="6" t="s">
        <v>142</v>
      </c>
      <c r="D103" s="6" t="s">
        <v>31</v>
      </c>
      <c r="E103" s="18">
        <f t="shared" si="1"/>
        <v>12</v>
      </c>
      <c r="F103" s="27">
        <v>0.02</v>
      </c>
      <c r="G103" s="11"/>
      <c r="H103" s="26"/>
      <c r="I103" s="24">
        <f t="shared" si="2"/>
        <v>8</v>
      </c>
      <c r="J103" s="25">
        <f t="shared" si="3"/>
        <v>2</v>
      </c>
    </row>
    <row r="104">
      <c r="A104" s="16">
        <v>6485.0</v>
      </c>
      <c r="B104" s="6" t="s">
        <v>103</v>
      </c>
      <c r="C104" s="6" t="s">
        <v>143</v>
      </c>
      <c r="D104" s="6" t="s">
        <v>25</v>
      </c>
      <c r="E104" s="18">
        <f t="shared" si="1"/>
        <v>12</v>
      </c>
      <c r="F104" s="27">
        <v>0.02</v>
      </c>
      <c r="G104" s="11"/>
      <c r="H104" s="26"/>
      <c r="I104" s="24">
        <f t="shared" si="2"/>
        <v>8</v>
      </c>
      <c r="J104" s="25">
        <f t="shared" si="3"/>
        <v>2</v>
      </c>
    </row>
    <row r="105">
      <c r="A105" s="16">
        <v>7294.0</v>
      </c>
      <c r="B105" s="6" t="s">
        <v>103</v>
      </c>
      <c r="C105" s="6" t="s">
        <v>144</v>
      </c>
      <c r="D105" s="6" t="s">
        <v>35</v>
      </c>
      <c r="E105" s="18">
        <f t="shared" si="1"/>
        <v>12</v>
      </c>
      <c r="F105" s="19">
        <v>0.02</v>
      </c>
      <c r="G105" s="21" t="s">
        <v>145</v>
      </c>
      <c r="H105" s="26"/>
      <c r="I105" s="24">
        <f t="shared" si="2"/>
        <v>4</v>
      </c>
      <c r="J105" s="25">
        <f t="shared" si="3"/>
        <v>2</v>
      </c>
    </row>
    <row r="106">
      <c r="A106" s="16">
        <v>4433.0</v>
      </c>
      <c r="B106" s="6" t="s">
        <v>103</v>
      </c>
      <c r="C106" s="6" t="s">
        <v>146</v>
      </c>
      <c r="D106" s="6" t="s">
        <v>37</v>
      </c>
      <c r="E106" s="18">
        <f t="shared" si="1"/>
        <v>11</v>
      </c>
      <c r="F106" s="27">
        <v>0.019</v>
      </c>
      <c r="G106" s="11"/>
      <c r="H106" s="26"/>
      <c r="I106" s="24">
        <f t="shared" si="2"/>
        <v>8</v>
      </c>
      <c r="J106" s="25">
        <f t="shared" si="3"/>
        <v>2</v>
      </c>
    </row>
    <row r="107">
      <c r="A107" s="16">
        <v>6672.0</v>
      </c>
      <c r="B107" s="6" t="s">
        <v>103</v>
      </c>
      <c r="C107" s="6" t="s">
        <v>147</v>
      </c>
      <c r="D107" s="6" t="s">
        <v>59</v>
      </c>
      <c r="E107" s="18">
        <f t="shared" si="1"/>
        <v>11</v>
      </c>
      <c r="F107" s="27">
        <v>0.019</v>
      </c>
      <c r="G107" s="11"/>
      <c r="H107" s="26"/>
      <c r="I107" s="24">
        <f t="shared" si="2"/>
        <v>8</v>
      </c>
      <c r="J107" s="25">
        <f t="shared" si="3"/>
        <v>2</v>
      </c>
    </row>
    <row r="108">
      <c r="A108" s="16">
        <v>4664.0</v>
      </c>
      <c r="B108" s="6" t="s">
        <v>103</v>
      </c>
      <c r="C108" s="6" t="s">
        <v>148</v>
      </c>
      <c r="D108" s="6" t="s">
        <v>27</v>
      </c>
      <c r="E108" s="18">
        <f t="shared" si="1"/>
        <v>11</v>
      </c>
      <c r="F108" s="27">
        <v>0.018</v>
      </c>
      <c r="G108" s="11"/>
      <c r="H108" s="26"/>
      <c r="I108" s="24">
        <f t="shared" si="2"/>
        <v>8</v>
      </c>
      <c r="J108" s="25">
        <f t="shared" si="3"/>
        <v>2</v>
      </c>
    </row>
    <row r="109">
      <c r="A109" s="16">
        <v>7580.0</v>
      </c>
      <c r="B109" s="6" t="s">
        <v>103</v>
      </c>
      <c r="C109" s="6" t="s">
        <v>149</v>
      </c>
      <c r="D109" s="6" t="s">
        <v>31</v>
      </c>
      <c r="E109" s="18">
        <f t="shared" si="1"/>
        <v>11</v>
      </c>
      <c r="F109" s="27">
        <v>0.019</v>
      </c>
      <c r="G109" s="11"/>
      <c r="H109" s="26"/>
      <c r="I109" s="24">
        <f t="shared" si="2"/>
        <v>8</v>
      </c>
      <c r="J109" s="25">
        <f t="shared" si="3"/>
        <v>2</v>
      </c>
    </row>
    <row r="110">
      <c r="A110" s="16">
        <v>7219.0</v>
      </c>
      <c r="B110" s="6" t="s">
        <v>103</v>
      </c>
      <c r="C110" s="6" t="s">
        <v>150</v>
      </c>
      <c r="D110" s="6" t="s">
        <v>25</v>
      </c>
      <c r="E110" s="18">
        <f t="shared" si="1"/>
        <v>11</v>
      </c>
      <c r="F110" s="27">
        <v>0.018</v>
      </c>
      <c r="G110" s="11"/>
      <c r="H110" s="26"/>
      <c r="I110" s="24">
        <f t="shared" si="2"/>
        <v>8</v>
      </c>
      <c r="J110" s="25">
        <f t="shared" si="3"/>
        <v>2</v>
      </c>
    </row>
    <row r="111">
      <c r="A111" s="16">
        <v>6320.0</v>
      </c>
      <c r="B111" s="6" t="s">
        <v>103</v>
      </c>
      <c r="C111" s="6" t="s">
        <v>151</v>
      </c>
      <c r="D111" s="6" t="s">
        <v>31</v>
      </c>
      <c r="E111" s="18">
        <f t="shared" si="1"/>
        <v>10</v>
      </c>
      <c r="F111" s="27">
        <v>0.016</v>
      </c>
      <c r="G111" s="11"/>
      <c r="H111" s="26"/>
      <c r="I111" s="24">
        <f t="shared" si="2"/>
        <v>8</v>
      </c>
      <c r="J111" s="25">
        <f t="shared" si="3"/>
        <v>2</v>
      </c>
    </row>
    <row r="112">
      <c r="A112" s="16">
        <v>5862.0</v>
      </c>
      <c r="B112" s="6" t="s">
        <v>103</v>
      </c>
      <c r="C112" s="6" t="s">
        <v>152</v>
      </c>
      <c r="D112" s="6" t="s">
        <v>50</v>
      </c>
      <c r="E112" s="18">
        <f t="shared" si="1"/>
        <v>10</v>
      </c>
      <c r="F112" s="19">
        <v>0.016</v>
      </c>
      <c r="G112" s="21" t="s">
        <v>145</v>
      </c>
      <c r="H112" s="26"/>
      <c r="I112" s="24">
        <f t="shared" si="2"/>
        <v>4</v>
      </c>
      <c r="J112" s="25">
        <f t="shared" si="3"/>
        <v>2</v>
      </c>
    </row>
    <row r="113">
      <c r="A113" s="16">
        <v>6042.0</v>
      </c>
      <c r="B113" s="6" t="s">
        <v>103</v>
      </c>
      <c r="C113" s="6" t="s">
        <v>153</v>
      </c>
      <c r="D113" s="6" t="s">
        <v>21</v>
      </c>
      <c r="E113" s="18">
        <f t="shared" si="1"/>
        <v>10</v>
      </c>
      <c r="F113" s="27">
        <v>0.017</v>
      </c>
      <c r="G113" s="21" t="s">
        <v>145</v>
      </c>
      <c r="H113" s="26"/>
      <c r="I113" s="24">
        <f t="shared" si="2"/>
        <v>4</v>
      </c>
      <c r="J113" s="25">
        <f t="shared" si="3"/>
        <v>2</v>
      </c>
    </row>
    <row r="114">
      <c r="A114" s="16">
        <v>4887.0</v>
      </c>
      <c r="B114" s="6" t="s">
        <v>103</v>
      </c>
      <c r="C114" s="6" t="s">
        <v>154</v>
      </c>
      <c r="D114" s="6" t="s">
        <v>25</v>
      </c>
      <c r="E114" s="18">
        <f t="shared" si="1"/>
        <v>10</v>
      </c>
      <c r="F114" s="27">
        <v>0.017</v>
      </c>
      <c r="G114" s="11"/>
      <c r="H114" s="26"/>
      <c r="I114" s="24">
        <f t="shared" si="2"/>
        <v>8</v>
      </c>
      <c r="J114" s="25">
        <f t="shared" si="3"/>
        <v>2</v>
      </c>
    </row>
    <row r="115">
      <c r="A115" s="16">
        <v>7599.0</v>
      </c>
      <c r="B115" s="6" t="s">
        <v>103</v>
      </c>
      <c r="C115" s="6" t="s">
        <v>155</v>
      </c>
      <c r="D115" s="6" t="s">
        <v>16</v>
      </c>
      <c r="E115" s="18">
        <f t="shared" si="1"/>
        <v>10</v>
      </c>
      <c r="F115" s="19">
        <v>0.016</v>
      </c>
      <c r="G115" s="21" t="s">
        <v>145</v>
      </c>
      <c r="H115" s="22" t="s">
        <v>33</v>
      </c>
      <c r="I115" s="24">
        <f t="shared" si="2"/>
        <v>4</v>
      </c>
      <c r="J115" s="25">
        <f t="shared" si="3"/>
        <v>2</v>
      </c>
    </row>
    <row r="116">
      <c r="A116" s="16">
        <v>6664.0</v>
      </c>
      <c r="B116" s="6" t="s">
        <v>103</v>
      </c>
      <c r="C116" s="6" t="s">
        <v>156</v>
      </c>
      <c r="D116" s="6" t="s">
        <v>50</v>
      </c>
      <c r="E116" s="18">
        <f t="shared" si="1"/>
        <v>9</v>
      </c>
      <c r="F116" s="19">
        <v>0.015</v>
      </c>
      <c r="G116" s="21" t="s">
        <v>145</v>
      </c>
      <c r="H116" s="26"/>
      <c r="I116" s="24">
        <f t="shared" si="2"/>
        <v>4</v>
      </c>
      <c r="J116" s="25">
        <f t="shared" si="3"/>
        <v>2</v>
      </c>
    </row>
    <row r="117">
      <c r="A117" s="16">
        <v>5701.0</v>
      </c>
      <c r="B117" s="6" t="s">
        <v>103</v>
      </c>
      <c r="C117" s="6" t="s">
        <v>157</v>
      </c>
      <c r="D117" s="6" t="s">
        <v>43</v>
      </c>
      <c r="E117" s="18">
        <f t="shared" si="1"/>
        <v>9</v>
      </c>
      <c r="F117" s="27">
        <v>0.015</v>
      </c>
      <c r="G117" s="11"/>
      <c r="H117" s="26"/>
      <c r="I117" s="24">
        <f t="shared" si="2"/>
        <v>8</v>
      </c>
      <c r="J117" s="25">
        <f t="shared" si="3"/>
        <v>2</v>
      </c>
    </row>
    <row r="118">
      <c r="A118" s="16">
        <v>7469.0</v>
      </c>
      <c r="B118" s="6" t="s">
        <v>103</v>
      </c>
      <c r="C118" s="6" t="s">
        <v>158</v>
      </c>
      <c r="D118" s="6" t="s">
        <v>63</v>
      </c>
      <c r="E118" s="18">
        <f t="shared" si="1"/>
        <v>9</v>
      </c>
      <c r="F118" s="27">
        <v>0.015</v>
      </c>
      <c r="G118" s="11"/>
      <c r="H118" s="26"/>
      <c r="I118" s="24">
        <f t="shared" si="2"/>
        <v>8</v>
      </c>
      <c r="J118" s="25">
        <f t="shared" si="3"/>
        <v>2</v>
      </c>
    </row>
    <row r="119">
      <c r="A119" s="16">
        <v>4401.0</v>
      </c>
      <c r="B119" s="6" t="s">
        <v>103</v>
      </c>
      <c r="C119" s="6" t="s">
        <v>159</v>
      </c>
      <c r="D119" s="6" t="s">
        <v>23</v>
      </c>
      <c r="E119" s="18">
        <f t="shared" si="1"/>
        <v>9</v>
      </c>
      <c r="F119" s="27">
        <v>0.015</v>
      </c>
      <c r="G119" s="11"/>
      <c r="H119" s="26"/>
      <c r="I119" s="24">
        <f t="shared" si="2"/>
        <v>8</v>
      </c>
      <c r="J119" s="25">
        <f t="shared" si="3"/>
        <v>2</v>
      </c>
    </row>
    <row r="120">
      <c r="A120" s="16">
        <v>7485.0</v>
      </c>
      <c r="B120" s="6" t="s">
        <v>103</v>
      </c>
      <c r="C120" s="6" t="s">
        <v>160</v>
      </c>
      <c r="D120" s="6" t="s">
        <v>52</v>
      </c>
      <c r="E120" s="18">
        <f t="shared" si="1"/>
        <v>1</v>
      </c>
      <c r="F120" s="19">
        <v>0.002</v>
      </c>
      <c r="G120" s="21" t="s">
        <v>132</v>
      </c>
      <c r="H120" s="26"/>
      <c r="I120" s="24">
        <f t="shared" si="2"/>
        <v>6</v>
      </c>
      <c r="J120" s="25">
        <f t="shared" si="3"/>
        <v>2</v>
      </c>
    </row>
    <row r="121">
      <c r="A121" s="16">
        <v>7212.0</v>
      </c>
      <c r="B121" s="6" t="s">
        <v>103</v>
      </c>
      <c r="C121" s="6" t="s">
        <v>161</v>
      </c>
      <c r="D121" s="6" t="s">
        <v>37</v>
      </c>
      <c r="E121" s="18">
        <f t="shared" si="1"/>
        <v>9</v>
      </c>
      <c r="F121" s="27">
        <v>0.015</v>
      </c>
      <c r="G121" s="11"/>
      <c r="H121" s="26"/>
      <c r="I121" s="24">
        <f t="shared" si="2"/>
        <v>8</v>
      </c>
      <c r="J121" s="25">
        <f t="shared" si="3"/>
        <v>2</v>
      </c>
    </row>
    <row r="122">
      <c r="A122" s="16">
        <v>2724.0</v>
      </c>
      <c r="B122" s="6" t="s">
        <v>103</v>
      </c>
      <c r="C122" s="6" t="s">
        <v>162</v>
      </c>
      <c r="D122" s="6" t="s">
        <v>27</v>
      </c>
      <c r="E122" s="18">
        <f t="shared" si="1"/>
        <v>9</v>
      </c>
      <c r="F122" s="27">
        <v>0.015</v>
      </c>
      <c r="G122" s="11"/>
      <c r="H122" s="26"/>
      <c r="I122" s="24">
        <f t="shared" si="2"/>
        <v>8</v>
      </c>
      <c r="J122" s="25">
        <f t="shared" si="3"/>
        <v>2</v>
      </c>
    </row>
    <row r="123">
      <c r="A123" s="16">
        <v>4147.0</v>
      </c>
      <c r="B123" s="6" t="s">
        <v>103</v>
      </c>
      <c r="C123" s="6" t="s">
        <v>163</v>
      </c>
      <c r="D123" s="6" t="s">
        <v>59</v>
      </c>
      <c r="E123" s="18">
        <f t="shared" si="1"/>
        <v>9</v>
      </c>
      <c r="F123" s="27">
        <v>0.015</v>
      </c>
      <c r="G123" s="11"/>
      <c r="H123" s="26"/>
      <c r="I123" s="24">
        <f t="shared" si="2"/>
        <v>8</v>
      </c>
      <c r="J123" s="25">
        <f t="shared" si="3"/>
        <v>2</v>
      </c>
    </row>
    <row r="124">
      <c r="A124" s="16">
        <v>6642.0</v>
      </c>
      <c r="B124" s="6" t="s">
        <v>103</v>
      </c>
      <c r="C124" s="6" t="s">
        <v>164</v>
      </c>
      <c r="D124" s="6" t="s">
        <v>56</v>
      </c>
      <c r="E124" s="18">
        <f t="shared" si="1"/>
        <v>8</v>
      </c>
      <c r="F124" s="27">
        <v>0.014</v>
      </c>
      <c r="G124" s="11"/>
      <c r="H124" s="26"/>
      <c r="I124" s="24">
        <f t="shared" si="2"/>
        <v>8</v>
      </c>
      <c r="J124" s="25">
        <f t="shared" si="3"/>
        <v>2</v>
      </c>
    </row>
    <row r="125">
      <c r="A125" s="16">
        <v>5010.0</v>
      </c>
      <c r="B125" s="6" t="s">
        <v>103</v>
      </c>
      <c r="C125" s="6" t="s">
        <v>165</v>
      </c>
      <c r="D125" s="6" t="s">
        <v>56</v>
      </c>
      <c r="E125" s="18">
        <f t="shared" si="1"/>
        <v>8</v>
      </c>
      <c r="F125" s="27">
        <v>0.013</v>
      </c>
      <c r="G125" s="11"/>
      <c r="H125" s="26"/>
      <c r="I125" s="24">
        <f t="shared" si="2"/>
        <v>8</v>
      </c>
      <c r="J125" s="25">
        <f t="shared" si="3"/>
        <v>2</v>
      </c>
    </row>
    <row r="126">
      <c r="A126" s="16">
        <v>5678.0</v>
      </c>
      <c r="B126" s="6" t="s">
        <v>103</v>
      </c>
      <c r="C126" s="6" t="s">
        <v>166</v>
      </c>
      <c r="D126" s="6" t="s">
        <v>37</v>
      </c>
      <c r="E126" s="18">
        <f t="shared" si="1"/>
        <v>8</v>
      </c>
      <c r="F126" s="27">
        <v>0.013</v>
      </c>
      <c r="G126" s="11"/>
      <c r="H126" s="26"/>
      <c r="I126" s="24">
        <f t="shared" si="2"/>
        <v>8</v>
      </c>
      <c r="J126" s="25">
        <f t="shared" si="3"/>
        <v>2</v>
      </c>
    </row>
    <row r="127">
      <c r="A127" s="16">
        <v>7414.0</v>
      </c>
      <c r="B127" s="6" t="s">
        <v>103</v>
      </c>
      <c r="C127" s="6" t="s">
        <v>167</v>
      </c>
      <c r="D127" s="6" t="s">
        <v>29</v>
      </c>
      <c r="E127" s="18">
        <f t="shared" si="1"/>
        <v>8</v>
      </c>
      <c r="F127" s="27">
        <v>0.013</v>
      </c>
      <c r="G127" s="11"/>
      <c r="H127" s="26"/>
      <c r="I127" s="24">
        <f t="shared" si="2"/>
        <v>8</v>
      </c>
      <c r="J127" s="25">
        <f t="shared" si="3"/>
        <v>2</v>
      </c>
    </row>
    <row r="128">
      <c r="A128" s="16">
        <v>4952.0</v>
      </c>
      <c r="B128" s="6" t="s">
        <v>103</v>
      </c>
      <c r="C128" s="6" t="s">
        <v>168</v>
      </c>
      <c r="D128" s="6" t="s">
        <v>63</v>
      </c>
      <c r="E128" s="18">
        <f t="shared" si="1"/>
        <v>8</v>
      </c>
      <c r="F128" s="27">
        <v>0.013</v>
      </c>
      <c r="G128" s="21" t="s">
        <v>132</v>
      </c>
      <c r="H128" s="26"/>
      <c r="I128" s="24">
        <f t="shared" si="2"/>
        <v>6</v>
      </c>
      <c r="J128" s="25">
        <f t="shared" si="3"/>
        <v>2</v>
      </c>
    </row>
    <row r="129">
      <c r="A129" s="16">
        <v>4177.0</v>
      </c>
      <c r="B129" s="6" t="s">
        <v>103</v>
      </c>
      <c r="C129" s="6" t="s">
        <v>169</v>
      </c>
      <c r="D129" s="6" t="s">
        <v>19</v>
      </c>
      <c r="E129" s="18">
        <f t="shared" si="1"/>
        <v>8</v>
      </c>
      <c r="F129" s="27">
        <v>0.014</v>
      </c>
      <c r="G129" s="11"/>
      <c r="H129" s="26"/>
      <c r="I129" s="24">
        <f t="shared" si="2"/>
        <v>8</v>
      </c>
      <c r="J129" s="25">
        <f t="shared" si="3"/>
        <v>2</v>
      </c>
    </row>
    <row r="130">
      <c r="A130" s="16">
        <v>4817.0</v>
      </c>
      <c r="B130" s="6" t="s">
        <v>103</v>
      </c>
      <c r="C130" s="6" t="s">
        <v>170</v>
      </c>
      <c r="D130" s="6" t="s">
        <v>31</v>
      </c>
      <c r="E130" s="18">
        <f t="shared" si="1"/>
        <v>8</v>
      </c>
      <c r="F130" s="27">
        <v>0.014</v>
      </c>
      <c r="G130" s="11"/>
      <c r="H130" s="26"/>
      <c r="I130" s="24">
        <f t="shared" si="2"/>
        <v>8</v>
      </c>
      <c r="J130" s="25">
        <f t="shared" si="3"/>
        <v>2</v>
      </c>
    </row>
    <row r="131">
      <c r="A131" s="16">
        <v>7329.0</v>
      </c>
      <c r="B131" s="6" t="s">
        <v>103</v>
      </c>
      <c r="C131" s="6" t="s">
        <v>171</v>
      </c>
      <c r="D131" s="6" t="s">
        <v>59</v>
      </c>
      <c r="E131" s="18">
        <f t="shared" si="1"/>
        <v>8</v>
      </c>
      <c r="F131" s="27">
        <v>0.013</v>
      </c>
      <c r="G131" s="11"/>
      <c r="H131" s="26"/>
      <c r="I131" s="24">
        <f t="shared" si="2"/>
        <v>8</v>
      </c>
      <c r="J131" s="25">
        <f t="shared" si="3"/>
        <v>2</v>
      </c>
    </row>
    <row r="132">
      <c r="A132" s="16">
        <v>7274.0</v>
      </c>
      <c r="B132" s="6" t="s">
        <v>103</v>
      </c>
      <c r="C132" s="6" t="s">
        <v>172</v>
      </c>
      <c r="D132" s="6" t="s">
        <v>43</v>
      </c>
      <c r="E132" s="18">
        <f t="shared" si="1"/>
        <v>8</v>
      </c>
      <c r="F132" s="27">
        <v>0.013</v>
      </c>
      <c r="G132" s="11"/>
      <c r="H132" s="26"/>
      <c r="I132" s="24">
        <f t="shared" si="2"/>
        <v>8</v>
      </c>
      <c r="J132" s="25">
        <f t="shared" si="3"/>
        <v>2</v>
      </c>
    </row>
    <row r="133">
      <c r="A133" s="16">
        <v>6893.0</v>
      </c>
      <c r="B133" s="6" t="s">
        <v>103</v>
      </c>
      <c r="C133" s="6" t="s">
        <v>173</v>
      </c>
      <c r="D133" s="6" t="s">
        <v>29</v>
      </c>
      <c r="E133" s="18">
        <f t="shared" si="1"/>
        <v>1</v>
      </c>
      <c r="F133" s="19">
        <v>0.002</v>
      </c>
      <c r="G133" s="21" t="s">
        <v>132</v>
      </c>
      <c r="H133" s="26"/>
      <c r="I133" s="24">
        <f t="shared" si="2"/>
        <v>6</v>
      </c>
      <c r="J133" s="25">
        <f t="shared" si="3"/>
        <v>2</v>
      </c>
    </row>
    <row r="134">
      <c r="A134" s="16">
        <v>7467.0</v>
      </c>
      <c r="B134" s="6" t="s">
        <v>103</v>
      </c>
      <c r="C134" s="6" t="s">
        <v>174</v>
      </c>
      <c r="D134" s="6" t="s">
        <v>63</v>
      </c>
      <c r="E134" s="18">
        <f t="shared" si="1"/>
        <v>8</v>
      </c>
      <c r="F134" s="27">
        <v>0.013</v>
      </c>
      <c r="G134" s="11"/>
      <c r="H134" s="26"/>
      <c r="I134" s="24">
        <f t="shared" si="2"/>
        <v>8</v>
      </c>
      <c r="J134" s="25">
        <f t="shared" si="3"/>
        <v>2</v>
      </c>
    </row>
    <row r="135">
      <c r="A135" s="16">
        <v>5840.0</v>
      </c>
      <c r="B135" s="6" t="s">
        <v>103</v>
      </c>
      <c r="C135" s="6" t="s">
        <v>175</v>
      </c>
      <c r="D135" s="6" t="s">
        <v>27</v>
      </c>
      <c r="E135" s="18">
        <f t="shared" si="1"/>
        <v>8</v>
      </c>
      <c r="F135" s="27">
        <v>0.013</v>
      </c>
      <c r="G135" s="11"/>
      <c r="H135" s="26"/>
      <c r="I135" s="24">
        <f t="shared" si="2"/>
        <v>8</v>
      </c>
      <c r="J135" s="25">
        <f t="shared" si="3"/>
        <v>2</v>
      </c>
    </row>
    <row r="136">
      <c r="A136" s="16">
        <v>7253.0</v>
      </c>
      <c r="B136" s="6" t="s">
        <v>103</v>
      </c>
      <c r="C136" s="6" t="s">
        <v>176</v>
      </c>
      <c r="D136" s="6" t="s">
        <v>54</v>
      </c>
      <c r="E136" s="18">
        <f t="shared" si="1"/>
        <v>8</v>
      </c>
      <c r="F136" s="27">
        <v>0.013</v>
      </c>
      <c r="G136" s="11"/>
      <c r="H136" s="26"/>
      <c r="I136" s="24">
        <f t="shared" si="2"/>
        <v>8</v>
      </c>
      <c r="J136" s="25">
        <f t="shared" si="3"/>
        <v>2</v>
      </c>
    </row>
    <row r="137">
      <c r="A137" s="16">
        <v>7268.0</v>
      </c>
      <c r="B137" s="6" t="s">
        <v>103</v>
      </c>
      <c r="C137" s="6" t="s">
        <v>177</v>
      </c>
      <c r="D137" s="6" t="s">
        <v>43</v>
      </c>
      <c r="E137" s="18">
        <f t="shared" si="1"/>
        <v>1</v>
      </c>
      <c r="F137" s="19">
        <v>0.001</v>
      </c>
      <c r="G137" s="21" t="s">
        <v>132</v>
      </c>
      <c r="H137" s="26"/>
      <c r="I137" s="24">
        <f t="shared" si="2"/>
        <v>6</v>
      </c>
      <c r="J137" s="25">
        <f t="shared" si="3"/>
        <v>2</v>
      </c>
    </row>
    <row r="138">
      <c r="A138" s="16">
        <v>7012.0</v>
      </c>
      <c r="B138" s="6" t="s">
        <v>103</v>
      </c>
      <c r="C138" s="6" t="s">
        <v>178</v>
      </c>
      <c r="D138" s="6" t="s">
        <v>31</v>
      </c>
      <c r="E138" s="18">
        <f t="shared" si="1"/>
        <v>8</v>
      </c>
      <c r="F138" s="27">
        <v>0.013</v>
      </c>
      <c r="G138" s="11"/>
      <c r="H138" s="26"/>
      <c r="I138" s="24">
        <f t="shared" si="2"/>
        <v>8</v>
      </c>
      <c r="J138" s="25">
        <f t="shared" si="3"/>
        <v>2</v>
      </c>
    </row>
    <row r="139">
      <c r="A139" s="16">
        <v>6986.0</v>
      </c>
      <c r="B139" s="6" t="s">
        <v>103</v>
      </c>
      <c r="C139" s="6" t="s">
        <v>179</v>
      </c>
      <c r="D139" s="6" t="s">
        <v>16</v>
      </c>
      <c r="E139" s="18">
        <f t="shared" si="1"/>
        <v>8</v>
      </c>
      <c r="F139" s="27">
        <v>0.014</v>
      </c>
      <c r="G139" s="11"/>
      <c r="H139" s="26"/>
      <c r="I139" s="24">
        <f t="shared" si="2"/>
        <v>8</v>
      </c>
      <c r="J139" s="25">
        <f t="shared" si="3"/>
        <v>2</v>
      </c>
    </row>
    <row r="140">
      <c r="A140" s="16">
        <v>5273.0</v>
      </c>
      <c r="B140" s="6" t="s">
        <v>103</v>
      </c>
      <c r="C140" s="6" t="s">
        <v>180</v>
      </c>
      <c r="D140" s="6" t="s">
        <v>23</v>
      </c>
      <c r="E140" s="18">
        <f t="shared" si="1"/>
        <v>8</v>
      </c>
      <c r="F140" s="27">
        <v>0.013</v>
      </c>
      <c r="G140" s="11"/>
      <c r="H140" s="26"/>
      <c r="I140" s="24">
        <f t="shared" si="2"/>
        <v>8</v>
      </c>
      <c r="J140" s="25">
        <f t="shared" si="3"/>
        <v>2</v>
      </c>
    </row>
    <row r="141">
      <c r="A141" s="16">
        <v>7238.0</v>
      </c>
      <c r="B141" s="6" t="s">
        <v>103</v>
      </c>
      <c r="C141" s="6" t="s">
        <v>181</v>
      </c>
      <c r="D141" s="6" t="s">
        <v>52</v>
      </c>
      <c r="E141" s="18">
        <f t="shared" si="1"/>
        <v>8</v>
      </c>
      <c r="F141" s="27">
        <v>0.014</v>
      </c>
      <c r="G141" s="11"/>
      <c r="H141" s="26"/>
      <c r="I141" s="24">
        <f t="shared" si="2"/>
        <v>8</v>
      </c>
      <c r="J141" s="25">
        <f t="shared" si="3"/>
        <v>2</v>
      </c>
    </row>
    <row r="142">
      <c r="A142" s="16">
        <v>7235.0</v>
      </c>
      <c r="B142" s="6" t="s">
        <v>103</v>
      </c>
      <c r="C142" s="6" t="s">
        <v>182</v>
      </c>
      <c r="D142" s="6" t="s">
        <v>50</v>
      </c>
      <c r="E142" s="18">
        <f t="shared" si="1"/>
        <v>8</v>
      </c>
      <c r="F142" s="27">
        <v>0.014</v>
      </c>
      <c r="G142" s="11"/>
      <c r="H142" s="26"/>
      <c r="I142" s="24">
        <f t="shared" si="2"/>
        <v>8</v>
      </c>
      <c r="J142" s="25">
        <f t="shared" si="3"/>
        <v>2</v>
      </c>
    </row>
    <row r="143">
      <c r="A143" s="16">
        <v>6989.0</v>
      </c>
      <c r="B143" s="6" t="s">
        <v>103</v>
      </c>
      <c r="C143" s="6" t="s">
        <v>183</v>
      </c>
      <c r="D143" s="6" t="s">
        <v>41</v>
      </c>
      <c r="E143" s="18">
        <f t="shared" si="1"/>
        <v>7</v>
      </c>
      <c r="F143" s="19">
        <v>0.012</v>
      </c>
      <c r="G143" s="21" t="s">
        <v>145</v>
      </c>
      <c r="H143" s="26"/>
      <c r="I143" s="24">
        <f t="shared" si="2"/>
        <v>4</v>
      </c>
      <c r="J143" s="25">
        <f t="shared" si="3"/>
        <v>2</v>
      </c>
    </row>
    <row r="144">
      <c r="A144" s="16">
        <v>6046.0</v>
      </c>
      <c r="B144" s="6" t="s">
        <v>103</v>
      </c>
      <c r="C144" s="6" t="s">
        <v>184</v>
      </c>
      <c r="D144" s="6" t="s">
        <v>25</v>
      </c>
      <c r="E144" s="18">
        <f t="shared" si="1"/>
        <v>7</v>
      </c>
      <c r="F144" s="27">
        <v>0.011</v>
      </c>
      <c r="G144" s="11"/>
      <c r="H144" s="26"/>
      <c r="I144" s="24">
        <f t="shared" si="2"/>
        <v>8</v>
      </c>
      <c r="J144" s="25">
        <f t="shared" si="3"/>
        <v>2</v>
      </c>
    </row>
    <row r="145">
      <c r="A145" s="16">
        <v>7410.0</v>
      </c>
      <c r="B145" s="6" t="s">
        <v>103</v>
      </c>
      <c r="C145" s="6" t="s">
        <v>185</v>
      </c>
      <c r="D145" s="6" t="s">
        <v>35</v>
      </c>
      <c r="E145" s="18">
        <f t="shared" si="1"/>
        <v>7</v>
      </c>
      <c r="F145" s="27">
        <v>0.012</v>
      </c>
      <c r="G145" s="11"/>
      <c r="H145" s="26"/>
      <c r="I145" s="24">
        <f t="shared" si="2"/>
        <v>8</v>
      </c>
      <c r="J145" s="25">
        <f t="shared" si="3"/>
        <v>2</v>
      </c>
    </row>
    <row r="146">
      <c r="A146" s="16">
        <v>6990.0</v>
      </c>
      <c r="B146" s="6" t="s">
        <v>103</v>
      </c>
      <c r="C146" s="6" t="s">
        <v>186</v>
      </c>
      <c r="D146" s="6" t="s">
        <v>41</v>
      </c>
      <c r="E146" s="18">
        <f t="shared" si="1"/>
        <v>7</v>
      </c>
      <c r="F146" s="27">
        <v>0.012</v>
      </c>
      <c r="G146" s="11"/>
      <c r="H146" s="26"/>
      <c r="I146" s="24">
        <f t="shared" si="2"/>
        <v>8</v>
      </c>
      <c r="J146" s="25">
        <f t="shared" si="3"/>
        <v>2</v>
      </c>
    </row>
    <row r="147">
      <c r="A147" s="16">
        <v>4502.0</v>
      </c>
      <c r="B147" s="6" t="s">
        <v>103</v>
      </c>
      <c r="C147" s="6" t="s">
        <v>187</v>
      </c>
      <c r="D147" s="6" t="s">
        <v>41</v>
      </c>
      <c r="E147" s="18">
        <f t="shared" si="1"/>
        <v>1</v>
      </c>
      <c r="F147" s="19">
        <v>0.002</v>
      </c>
      <c r="G147" s="21" t="s">
        <v>132</v>
      </c>
      <c r="H147" s="26"/>
      <c r="I147" s="24">
        <f t="shared" si="2"/>
        <v>6</v>
      </c>
      <c r="J147" s="25">
        <f t="shared" si="3"/>
        <v>2</v>
      </c>
    </row>
    <row r="148">
      <c r="A148" s="16">
        <v>6202.0</v>
      </c>
      <c r="B148" s="6" t="s">
        <v>103</v>
      </c>
      <c r="C148" s="6" t="s">
        <v>188</v>
      </c>
      <c r="D148" s="6" t="s">
        <v>27</v>
      </c>
      <c r="E148" s="18">
        <f t="shared" si="1"/>
        <v>7</v>
      </c>
      <c r="F148" s="27">
        <v>0.012</v>
      </c>
      <c r="G148" s="11"/>
      <c r="H148" s="26"/>
      <c r="I148" s="24">
        <f t="shared" si="2"/>
        <v>8</v>
      </c>
      <c r="J148" s="25">
        <f t="shared" si="3"/>
        <v>2</v>
      </c>
    </row>
    <row r="149">
      <c r="A149" s="16">
        <v>7564.0</v>
      </c>
      <c r="B149" s="6" t="s">
        <v>103</v>
      </c>
      <c r="C149" s="6" t="s">
        <v>189</v>
      </c>
      <c r="D149" s="6" t="s">
        <v>59</v>
      </c>
      <c r="E149" s="18">
        <f t="shared" si="1"/>
        <v>7</v>
      </c>
      <c r="F149" s="27">
        <v>0.012</v>
      </c>
      <c r="G149" s="11"/>
      <c r="H149" s="26"/>
      <c r="I149" s="24">
        <f t="shared" si="2"/>
        <v>8</v>
      </c>
      <c r="J149" s="25">
        <f t="shared" si="3"/>
        <v>2</v>
      </c>
    </row>
    <row r="150">
      <c r="A150" s="16">
        <v>4705.0</v>
      </c>
      <c r="B150" s="6" t="s">
        <v>103</v>
      </c>
      <c r="C150" s="6" t="s">
        <v>190</v>
      </c>
      <c r="D150" s="6" t="s">
        <v>16</v>
      </c>
      <c r="E150" s="18">
        <f t="shared" si="1"/>
        <v>7</v>
      </c>
      <c r="F150" s="27">
        <v>0.011</v>
      </c>
      <c r="G150" s="11"/>
      <c r="H150" s="26"/>
      <c r="I150" s="24">
        <f t="shared" si="2"/>
        <v>8</v>
      </c>
      <c r="J150" s="25">
        <f t="shared" si="3"/>
        <v>2</v>
      </c>
    </row>
    <row r="151">
      <c r="A151" s="16">
        <v>6766.0</v>
      </c>
      <c r="B151" s="6" t="s">
        <v>103</v>
      </c>
      <c r="C151" s="6" t="s">
        <v>191</v>
      </c>
      <c r="D151" s="6" t="s">
        <v>21</v>
      </c>
      <c r="E151" s="18">
        <f t="shared" si="1"/>
        <v>7</v>
      </c>
      <c r="F151" s="27">
        <v>0.012</v>
      </c>
      <c r="G151" s="21" t="s">
        <v>145</v>
      </c>
      <c r="H151" s="26"/>
      <c r="I151" s="24">
        <f t="shared" si="2"/>
        <v>4</v>
      </c>
      <c r="J151" s="25">
        <f t="shared" si="3"/>
        <v>2</v>
      </c>
    </row>
    <row r="152">
      <c r="A152" s="16">
        <v>6632.0</v>
      </c>
      <c r="B152" s="6" t="s">
        <v>103</v>
      </c>
      <c r="C152" s="6" t="s">
        <v>192</v>
      </c>
      <c r="D152" s="6" t="s">
        <v>41</v>
      </c>
      <c r="E152" s="18">
        <f t="shared" si="1"/>
        <v>7</v>
      </c>
      <c r="F152" s="27">
        <v>0.012</v>
      </c>
      <c r="G152" s="11"/>
      <c r="H152" s="26"/>
      <c r="I152" s="24">
        <f t="shared" si="2"/>
        <v>8</v>
      </c>
      <c r="J152" s="25">
        <f t="shared" si="3"/>
        <v>2</v>
      </c>
    </row>
    <row r="153">
      <c r="A153" s="16">
        <v>4845.0</v>
      </c>
      <c r="B153" s="6" t="s">
        <v>103</v>
      </c>
      <c r="C153" s="6" t="s">
        <v>193</v>
      </c>
      <c r="D153" s="6" t="s">
        <v>54</v>
      </c>
      <c r="E153" s="18">
        <f t="shared" si="1"/>
        <v>7</v>
      </c>
      <c r="F153" s="27">
        <v>0.012</v>
      </c>
      <c r="G153" s="11"/>
      <c r="H153" s="26"/>
      <c r="I153" s="24">
        <f t="shared" si="2"/>
        <v>8</v>
      </c>
      <c r="J153" s="25">
        <f t="shared" si="3"/>
        <v>2</v>
      </c>
    </row>
    <row r="154">
      <c r="A154" s="16">
        <v>5751.0</v>
      </c>
      <c r="B154" s="6" t="s">
        <v>103</v>
      </c>
      <c r="C154" s="6" t="s">
        <v>194</v>
      </c>
      <c r="D154" s="6" t="s">
        <v>56</v>
      </c>
      <c r="E154" s="18">
        <f t="shared" si="1"/>
        <v>7</v>
      </c>
      <c r="F154" s="27">
        <v>0.012</v>
      </c>
      <c r="G154" s="11"/>
      <c r="H154" s="26"/>
      <c r="I154" s="24">
        <f t="shared" si="2"/>
        <v>8</v>
      </c>
      <c r="J154" s="25">
        <f t="shared" si="3"/>
        <v>2</v>
      </c>
    </row>
    <row r="155">
      <c r="A155" s="16">
        <v>2169.0</v>
      </c>
      <c r="B155" s="6" t="s">
        <v>103</v>
      </c>
      <c r="C155" s="6" t="s">
        <v>195</v>
      </c>
      <c r="D155" s="6" t="s">
        <v>56</v>
      </c>
      <c r="E155" s="18">
        <f t="shared" si="1"/>
        <v>7</v>
      </c>
      <c r="F155" s="27">
        <v>0.012</v>
      </c>
      <c r="G155" s="11"/>
      <c r="H155" s="26"/>
      <c r="I155" s="24">
        <f t="shared" si="2"/>
        <v>8</v>
      </c>
      <c r="J155" s="25">
        <f t="shared" si="3"/>
        <v>2</v>
      </c>
    </row>
    <row r="156">
      <c r="A156" s="16">
        <v>5578.0</v>
      </c>
      <c r="B156" s="6" t="s">
        <v>103</v>
      </c>
      <c r="C156" s="6" t="s">
        <v>196</v>
      </c>
      <c r="D156" s="6" t="s">
        <v>25</v>
      </c>
      <c r="E156" s="18">
        <f t="shared" si="1"/>
        <v>7</v>
      </c>
      <c r="F156" s="27">
        <v>0.012</v>
      </c>
      <c r="G156" s="11"/>
      <c r="H156" s="26"/>
      <c r="I156" s="24">
        <f t="shared" si="2"/>
        <v>8</v>
      </c>
      <c r="J156" s="25">
        <f t="shared" si="3"/>
        <v>2</v>
      </c>
    </row>
    <row r="157">
      <c r="A157" s="16">
        <v>7240.0</v>
      </c>
      <c r="B157" s="6" t="s">
        <v>103</v>
      </c>
      <c r="C157" s="6" t="s">
        <v>197</v>
      </c>
      <c r="D157" s="6" t="s">
        <v>41</v>
      </c>
      <c r="E157" s="18">
        <f t="shared" si="1"/>
        <v>7</v>
      </c>
      <c r="F157" s="27">
        <v>0.012</v>
      </c>
      <c r="G157" s="11"/>
      <c r="H157" s="26"/>
      <c r="I157" s="24">
        <f t="shared" si="2"/>
        <v>8</v>
      </c>
      <c r="J157" s="25">
        <f t="shared" si="3"/>
        <v>2</v>
      </c>
    </row>
    <row r="158">
      <c r="A158" s="16">
        <v>5838.0</v>
      </c>
      <c r="B158" s="6" t="s">
        <v>103</v>
      </c>
      <c r="C158" s="6" t="s">
        <v>198</v>
      </c>
      <c r="D158" s="6" t="s">
        <v>52</v>
      </c>
      <c r="E158" s="18">
        <f t="shared" si="1"/>
        <v>1</v>
      </c>
      <c r="F158" s="19">
        <v>0.002</v>
      </c>
      <c r="G158" s="21" t="s">
        <v>132</v>
      </c>
      <c r="H158" s="26"/>
      <c r="I158" s="24">
        <f t="shared" si="2"/>
        <v>6</v>
      </c>
      <c r="J158" s="25">
        <f t="shared" si="3"/>
        <v>2</v>
      </c>
    </row>
    <row r="159">
      <c r="A159" s="16">
        <v>7526.0</v>
      </c>
      <c r="B159" s="6" t="s">
        <v>103</v>
      </c>
      <c r="C159" s="6" t="s">
        <v>199</v>
      </c>
      <c r="D159" s="6" t="s">
        <v>56</v>
      </c>
      <c r="E159" s="18">
        <f t="shared" si="1"/>
        <v>7</v>
      </c>
      <c r="F159" s="27">
        <v>0.012</v>
      </c>
      <c r="G159" s="11"/>
      <c r="H159" s="26"/>
      <c r="I159" s="24">
        <f t="shared" si="2"/>
        <v>8</v>
      </c>
      <c r="J159" s="25">
        <f t="shared" si="3"/>
        <v>2</v>
      </c>
    </row>
    <row r="160">
      <c r="A160" s="16">
        <v>4263.0</v>
      </c>
      <c r="B160" s="6" t="s">
        <v>103</v>
      </c>
      <c r="C160" s="6" t="s">
        <v>200</v>
      </c>
      <c r="D160" s="6" t="s">
        <v>39</v>
      </c>
      <c r="E160" s="18">
        <f t="shared" si="1"/>
        <v>1</v>
      </c>
      <c r="F160" s="19">
        <v>0.002</v>
      </c>
      <c r="G160" s="21" t="s">
        <v>132</v>
      </c>
      <c r="H160" s="26"/>
      <c r="I160" s="24">
        <f t="shared" si="2"/>
        <v>6</v>
      </c>
      <c r="J160" s="25">
        <f t="shared" si="3"/>
        <v>2</v>
      </c>
    </row>
    <row r="161">
      <c r="A161" s="16">
        <v>6821.0</v>
      </c>
      <c r="B161" s="6" t="s">
        <v>103</v>
      </c>
      <c r="C161" s="6" t="s">
        <v>201</v>
      </c>
      <c r="D161" s="6" t="s">
        <v>54</v>
      </c>
      <c r="E161" s="18">
        <f t="shared" si="1"/>
        <v>1</v>
      </c>
      <c r="F161" s="19">
        <v>0.002</v>
      </c>
      <c r="G161" s="21" t="s">
        <v>132</v>
      </c>
      <c r="H161" s="26"/>
      <c r="I161" s="24">
        <f t="shared" si="2"/>
        <v>6</v>
      </c>
      <c r="J161" s="25">
        <f t="shared" si="3"/>
        <v>2</v>
      </c>
    </row>
    <row r="162">
      <c r="A162" s="16">
        <v>7326.0</v>
      </c>
      <c r="B162" s="6" t="s">
        <v>103</v>
      </c>
      <c r="C162" s="6" t="s">
        <v>202</v>
      </c>
      <c r="D162" s="6" t="s">
        <v>37</v>
      </c>
      <c r="E162" s="18">
        <f t="shared" si="1"/>
        <v>7</v>
      </c>
      <c r="F162" s="27">
        <v>0.012</v>
      </c>
      <c r="G162" s="11"/>
      <c r="H162" s="26"/>
      <c r="I162" s="24">
        <f t="shared" si="2"/>
        <v>8</v>
      </c>
      <c r="J162" s="25">
        <f t="shared" si="3"/>
        <v>2</v>
      </c>
    </row>
    <row r="163">
      <c r="A163" s="16">
        <v>7175.0</v>
      </c>
      <c r="B163" s="6" t="s">
        <v>103</v>
      </c>
      <c r="C163" s="6" t="s">
        <v>203</v>
      </c>
      <c r="D163" s="6" t="s">
        <v>35</v>
      </c>
      <c r="E163" s="18">
        <f t="shared" si="1"/>
        <v>7</v>
      </c>
      <c r="F163" s="27">
        <v>0.012</v>
      </c>
      <c r="G163" s="11"/>
      <c r="H163" s="26"/>
      <c r="I163" s="24">
        <f t="shared" si="2"/>
        <v>8</v>
      </c>
      <c r="J163" s="25">
        <f t="shared" si="3"/>
        <v>2</v>
      </c>
    </row>
    <row r="164">
      <c r="A164" s="16">
        <v>6659.0</v>
      </c>
      <c r="B164" s="6" t="s">
        <v>103</v>
      </c>
      <c r="C164" s="6" t="s">
        <v>204</v>
      </c>
      <c r="D164" s="6" t="s">
        <v>52</v>
      </c>
      <c r="E164" s="18">
        <f t="shared" si="1"/>
        <v>7</v>
      </c>
      <c r="F164" s="27">
        <v>0.011</v>
      </c>
      <c r="G164" s="11"/>
      <c r="H164" s="26"/>
      <c r="I164" s="24">
        <f t="shared" si="2"/>
        <v>8</v>
      </c>
      <c r="J164" s="25">
        <f t="shared" si="3"/>
        <v>2</v>
      </c>
    </row>
    <row r="165">
      <c r="A165" s="16">
        <v>6925.0</v>
      </c>
      <c r="B165" s="6" t="s">
        <v>103</v>
      </c>
      <c r="C165" s="6" t="s">
        <v>205</v>
      </c>
      <c r="D165" s="6" t="s">
        <v>39</v>
      </c>
      <c r="E165" s="18">
        <f t="shared" si="1"/>
        <v>7</v>
      </c>
      <c r="F165" s="27">
        <v>0.011</v>
      </c>
      <c r="G165" s="11"/>
      <c r="H165" s="26"/>
      <c r="I165" s="24">
        <f t="shared" si="2"/>
        <v>8</v>
      </c>
      <c r="J165" s="25">
        <f t="shared" si="3"/>
        <v>2</v>
      </c>
    </row>
    <row r="166">
      <c r="A166" s="16">
        <v>6896.0</v>
      </c>
      <c r="B166" s="6" t="s">
        <v>103</v>
      </c>
      <c r="C166" s="6" t="s">
        <v>206</v>
      </c>
      <c r="D166" s="6" t="s">
        <v>59</v>
      </c>
      <c r="E166" s="18">
        <f t="shared" si="1"/>
        <v>7</v>
      </c>
      <c r="F166" s="27">
        <v>0.011</v>
      </c>
      <c r="G166" s="11"/>
      <c r="H166" s="26"/>
      <c r="I166" s="24">
        <f t="shared" si="2"/>
        <v>8</v>
      </c>
      <c r="J166" s="25">
        <f t="shared" si="3"/>
        <v>2</v>
      </c>
    </row>
    <row r="167">
      <c r="A167" s="16">
        <v>5885.0</v>
      </c>
      <c r="B167" s="6" t="s">
        <v>103</v>
      </c>
      <c r="C167" s="6" t="s">
        <v>207</v>
      </c>
      <c r="D167" s="6" t="s">
        <v>35</v>
      </c>
      <c r="E167" s="18">
        <f t="shared" si="1"/>
        <v>6</v>
      </c>
      <c r="F167" s="19">
        <v>0.01</v>
      </c>
      <c r="G167" s="21" t="s">
        <v>145</v>
      </c>
      <c r="H167" s="26"/>
      <c r="I167" s="24">
        <f t="shared" si="2"/>
        <v>4</v>
      </c>
      <c r="J167" s="25">
        <f t="shared" si="3"/>
        <v>2</v>
      </c>
    </row>
    <row r="168">
      <c r="A168" s="16">
        <v>4657.0</v>
      </c>
      <c r="B168" s="6" t="s">
        <v>103</v>
      </c>
      <c r="C168" s="6" t="s">
        <v>208</v>
      </c>
      <c r="D168" s="6" t="s">
        <v>21</v>
      </c>
      <c r="E168" s="18">
        <f t="shared" si="1"/>
        <v>6</v>
      </c>
      <c r="F168" s="19">
        <v>0.01</v>
      </c>
      <c r="G168" s="21" t="s">
        <v>145</v>
      </c>
      <c r="H168" s="26"/>
      <c r="I168" s="24">
        <f t="shared" si="2"/>
        <v>4</v>
      </c>
      <c r="J168" s="25">
        <f t="shared" si="3"/>
        <v>2</v>
      </c>
    </row>
    <row r="169">
      <c r="A169" s="16">
        <v>6496.0</v>
      </c>
      <c r="B169" s="6" t="s">
        <v>103</v>
      </c>
      <c r="C169" s="6" t="s">
        <v>209</v>
      </c>
      <c r="D169" s="6" t="s">
        <v>23</v>
      </c>
      <c r="E169" s="18">
        <f t="shared" si="1"/>
        <v>6</v>
      </c>
      <c r="F169" s="19">
        <v>0.01</v>
      </c>
      <c r="G169" s="21" t="s">
        <v>145</v>
      </c>
      <c r="H169" s="26"/>
      <c r="I169" s="24">
        <f t="shared" si="2"/>
        <v>4</v>
      </c>
      <c r="J169" s="25">
        <f t="shared" si="3"/>
        <v>2</v>
      </c>
    </row>
    <row r="170">
      <c r="A170" s="16">
        <v>7529.0</v>
      </c>
      <c r="B170" s="6" t="s">
        <v>103</v>
      </c>
      <c r="C170" s="6" t="s">
        <v>210</v>
      </c>
      <c r="D170" s="6" t="s">
        <v>16</v>
      </c>
      <c r="E170" s="18">
        <f t="shared" si="1"/>
        <v>6</v>
      </c>
      <c r="F170" s="19">
        <v>0.01</v>
      </c>
      <c r="G170" s="21" t="s">
        <v>126</v>
      </c>
      <c r="H170" s="26"/>
      <c r="I170" s="24">
        <f t="shared" si="2"/>
        <v>5</v>
      </c>
      <c r="J170" s="25">
        <f t="shared" si="3"/>
        <v>2</v>
      </c>
    </row>
    <row r="171">
      <c r="A171" s="16">
        <v>6727.0</v>
      </c>
      <c r="B171" s="6" t="s">
        <v>103</v>
      </c>
      <c r="C171" s="6" t="s">
        <v>211</v>
      </c>
      <c r="D171" s="6" t="s">
        <v>29</v>
      </c>
      <c r="E171" s="18">
        <f t="shared" si="1"/>
        <v>6</v>
      </c>
      <c r="F171" s="19">
        <v>0.01</v>
      </c>
      <c r="G171" s="21" t="s">
        <v>145</v>
      </c>
      <c r="H171" s="26"/>
      <c r="I171" s="24">
        <f t="shared" si="2"/>
        <v>4</v>
      </c>
      <c r="J171" s="25">
        <f t="shared" si="3"/>
        <v>2</v>
      </c>
    </row>
    <row r="172">
      <c r="A172" s="16">
        <v>5675.0</v>
      </c>
      <c r="B172" s="6" t="s">
        <v>103</v>
      </c>
      <c r="C172" s="6" t="s">
        <v>212</v>
      </c>
      <c r="D172" s="6" t="s">
        <v>37</v>
      </c>
      <c r="E172" s="18">
        <f t="shared" si="1"/>
        <v>6</v>
      </c>
      <c r="F172" s="19">
        <v>0.01</v>
      </c>
      <c r="G172" s="21" t="s">
        <v>126</v>
      </c>
      <c r="H172" s="26"/>
      <c r="I172" s="24">
        <f t="shared" si="2"/>
        <v>5</v>
      </c>
      <c r="J172" s="25">
        <f t="shared" si="3"/>
        <v>2</v>
      </c>
    </row>
    <row r="173">
      <c r="A173" s="16">
        <v>6238.0</v>
      </c>
      <c r="B173" s="6" t="s">
        <v>103</v>
      </c>
      <c r="C173" s="6" t="s">
        <v>213</v>
      </c>
      <c r="D173" s="6" t="s">
        <v>63</v>
      </c>
      <c r="E173" s="18">
        <f t="shared" si="1"/>
        <v>6</v>
      </c>
      <c r="F173" s="27">
        <v>0.01</v>
      </c>
      <c r="G173" s="11"/>
      <c r="H173" s="26"/>
      <c r="I173" s="24">
        <f t="shared" si="2"/>
        <v>8</v>
      </c>
      <c r="J173" s="25">
        <f t="shared" si="3"/>
        <v>2</v>
      </c>
    </row>
    <row r="174">
      <c r="A174" s="16">
        <v>6631.0</v>
      </c>
      <c r="B174" s="6" t="s">
        <v>103</v>
      </c>
      <c r="C174" s="6" t="s">
        <v>214</v>
      </c>
      <c r="D174" s="6" t="s">
        <v>16</v>
      </c>
      <c r="E174" s="18">
        <f t="shared" si="1"/>
        <v>6</v>
      </c>
      <c r="F174" s="27">
        <v>0.01</v>
      </c>
      <c r="G174" s="11"/>
      <c r="H174" s="26"/>
      <c r="I174" s="24">
        <f t="shared" si="2"/>
        <v>8</v>
      </c>
      <c r="J174" s="25">
        <f t="shared" si="3"/>
        <v>2</v>
      </c>
    </row>
    <row r="175">
      <c r="A175" s="16">
        <v>5851.0</v>
      </c>
      <c r="B175" s="6" t="s">
        <v>103</v>
      </c>
      <c r="C175" s="6" t="s">
        <v>215</v>
      </c>
      <c r="D175" s="6" t="s">
        <v>59</v>
      </c>
      <c r="E175" s="18">
        <f t="shared" si="1"/>
        <v>6</v>
      </c>
      <c r="F175" s="27">
        <v>0.01</v>
      </c>
      <c r="G175" s="11"/>
      <c r="H175" s="26"/>
      <c r="I175" s="24">
        <f t="shared" si="2"/>
        <v>8</v>
      </c>
      <c r="J175" s="25">
        <f t="shared" si="3"/>
        <v>2</v>
      </c>
    </row>
    <row r="176">
      <c r="A176" s="16">
        <v>5695.0</v>
      </c>
      <c r="B176" s="6" t="s">
        <v>103</v>
      </c>
      <c r="C176" s="6" t="s">
        <v>216</v>
      </c>
      <c r="D176" s="6" t="s">
        <v>54</v>
      </c>
      <c r="E176" s="18">
        <f t="shared" si="1"/>
        <v>6</v>
      </c>
      <c r="F176" s="27">
        <v>0.01</v>
      </c>
      <c r="G176" s="11"/>
      <c r="H176" s="26"/>
      <c r="I176" s="24">
        <f t="shared" si="2"/>
        <v>8</v>
      </c>
      <c r="J176" s="25">
        <f t="shared" si="3"/>
        <v>2</v>
      </c>
    </row>
    <row r="177">
      <c r="A177" s="16">
        <v>7068.0</v>
      </c>
      <c r="B177" s="6" t="s">
        <v>103</v>
      </c>
      <c r="C177" s="6" t="s">
        <v>217</v>
      </c>
      <c r="D177" s="6" t="s">
        <v>37</v>
      </c>
      <c r="E177" s="18">
        <f t="shared" si="1"/>
        <v>6</v>
      </c>
      <c r="F177" s="27">
        <v>0.01</v>
      </c>
      <c r="G177" s="11"/>
      <c r="H177" s="26"/>
      <c r="I177" s="24">
        <f t="shared" si="2"/>
        <v>8</v>
      </c>
      <c r="J177" s="25">
        <f t="shared" si="3"/>
        <v>2</v>
      </c>
    </row>
    <row r="178">
      <c r="A178" s="16">
        <v>7014.0</v>
      </c>
      <c r="B178" s="6" t="s">
        <v>103</v>
      </c>
      <c r="C178" s="6" t="s">
        <v>218</v>
      </c>
      <c r="D178" s="6" t="s">
        <v>29</v>
      </c>
      <c r="E178" s="18">
        <f t="shared" si="1"/>
        <v>6</v>
      </c>
      <c r="F178" s="27">
        <v>0.01</v>
      </c>
      <c r="G178" s="11"/>
      <c r="H178" s="26"/>
      <c r="I178" s="24">
        <f t="shared" si="2"/>
        <v>8</v>
      </c>
      <c r="J178" s="25">
        <f t="shared" si="3"/>
        <v>2</v>
      </c>
    </row>
    <row r="179">
      <c r="A179" s="16">
        <v>5449.0</v>
      </c>
      <c r="B179" s="6" t="s">
        <v>103</v>
      </c>
      <c r="C179" s="6" t="s">
        <v>219</v>
      </c>
      <c r="D179" s="6" t="s">
        <v>35</v>
      </c>
      <c r="E179" s="18">
        <f t="shared" si="1"/>
        <v>6</v>
      </c>
      <c r="F179" s="27">
        <v>0.01</v>
      </c>
      <c r="G179" s="11"/>
      <c r="H179" s="26"/>
      <c r="I179" s="24">
        <f t="shared" si="2"/>
        <v>8</v>
      </c>
      <c r="J179" s="25">
        <f t="shared" si="3"/>
        <v>2</v>
      </c>
    </row>
    <row r="180">
      <c r="A180" s="16">
        <v>7537.0</v>
      </c>
      <c r="B180" s="6" t="s">
        <v>103</v>
      </c>
      <c r="C180" s="6" t="s">
        <v>220</v>
      </c>
      <c r="D180" s="6" t="s">
        <v>47</v>
      </c>
      <c r="E180" s="18">
        <f t="shared" si="1"/>
        <v>6</v>
      </c>
      <c r="F180" s="27">
        <v>0.01</v>
      </c>
      <c r="G180" s="11"/>
      <c r="H180" s="26"/>
      <c r="I180" s="24">
        <f t="shared" si="2"/>
        <v>8</v>
      </c>
      <c r="J180" s="25">
        <f t="shared" si="3"/>
        <v>2</v>
      </c>
    </row>
    <row r="181">
      <c r="A181" s="16">
        <v>5831.0</v>
      </c>
      <c r="B181" s="6" t="s">
        <v>103</v>
      </c>
      <c r="C181" s="6" t="s">
        <v>221</v>
      </c>
      <c r="D181" s="6" t="s">
        <v>21</v>
      </c>
      <c r="E181" s="18">
        <f t="shared" si="1"/>
        <v>6</v>
      </c>
      <c r="F181" s="27">
        <v>0.01</v>
      </c>
      <c r="G181" s="11"/>
      <c r="H181" s="26"/>
      <c r="I181" s="24">
        <f t="shared" si="2"/>
        <v>8</v>
      </c>
      <c r="J181" s="25">
        <f t="shared" si="3"/>
        <v>2</v>
      </c>
    </row>
    <row r="182">
      <c r="A182" s="16">
        <v>7131.0</v>
      </c>
      <c r="B182" s="6" t="s">
        <v>103</v>
      </c>
      <c r="C182" s="6" t="s">
        <v>222</v>
      </c>
      <c r="D182" s="6" t="s">
        <v>31</v>
      </c>
      <c r="E182" s="18">
        <f t="shared" si="1"/>
        <v>6</v>
      </c>
      <c r="F182" s="27">
        <v>0.01</v>
      </c>
      <c r="G182" s="21" t="s">
        <v>126</v>
      </c>
      <c r="H182" s="22" t="s">
        <v>33</v>
      </c>
      <c r="I182" s="24">
        <f t="shared" si="2"/>
        <v>5</v>
      </c>
      <c r="J182" s="25">
        <f t="shared" si="3"/>
        <v>2</v>
      </c>
    </row>
    <row r="183">
      <c r="A183" s="16">
        <v>5307.0</v>
      </c>
      <c r="B183" s="6" t="s">
        <v>103</v>
      </c>
      <c r="C183" s="6" t="s">
        <v>223</v>
      </c>
      <c r="D183" s="6" t="s">
        <v>50</v>
      </c>
      <c r="E183" s="18">
        <f t="shared" si="1"/>
        <v>1</v>
      </c>
      <c r="F183" s="19">
        <v>0.002</v>
      </c>
      <c r="G183" s="21" t="s">
        <v>132</v>
      </c>
      <c r="H183" s="26"/>
      <c r="I183" s="24">
        <f t="shared" si="2"/>
        <v>6</v>
      </c>
      <c r="J183" s="25">
        <f t="shared" si="3"/>
        <v>2</v>
      </c>
    </row>
    <row r="184">
      <c r="A184" s="16">
        <v>4374.0</v>
      </c>
      <c r="B184" s="6" t="s">
        <v>103</v>
      </c>
      <c r="C184" s="6" t="s">
        <v>224</v>
      </c>
      <c r="D184" s="6" t="s">
        <v>59</v>
      </c>
      <c r="E184" s="18">
        <f t="shared" si="1"/>
        <v>6</v>
      </c>
      <c r="F184" s="27">
        <v>0.01</v>
      </c>
      <c r="G184" s="11"/>
      <c r="H184" s="26"/>
      <c r="I184" s="24">
        <f t="shared" si="2"/>
        <v>8</v>
      </c>
      <c r="J184" s="25">
        <f t="shared" si="3"/>
        <v>2</v>
      </c>
    </row>
    <row r="185">
      <c r="A185" s="16">
        <v>5820.0</v>
      </c>
      <c r="B185" s="6" t="s">
        <v>103</v>
      </c>
      <c r="C185" s="6" t="s">
        <v>225</v>
      </c>
      <c r="D185" s="6" t="s">
        <v>39</v>
      </c>
      <c r="E185" s="18">
        <f t="shared" si="1"/>
        <v>6</v>
      </c>
      <c r="F185" s="27">
        <v>0.01</v>
      </c>
      <c r="G185" s="11"/>
      <c r="H185" s="26"/>
      <c r="I185" s="24">
        <f t="shared" si="2"/>
        <v>8</v>
      </c>
      <c r="J185" s="25">
        <f t="shared" si="3"/>
        <v>2</v>
      </c>
    </row>
    <row r="186">
      <c r="A186" s="16">
        <v>5527.0</v>
      </c>
      <c r="B186" s="6" t="s">
        <v>103</v>
      </c>
      <c r="C186" s="6" t="s">
        <v>226</v>
      </c>
      <c r="D186" s="6" t="s">
        <v>39</v>
      </c>
      <c r="E186" s="18">
        <f t="shared" si="1"/>
        <v>6</v>
      </c>
      <c r="F186" s="27">
        <v>0.01</v>
      </c>
      <c r="G186" s="11"/>
      <c r="H186" s="26"/>
      <c r="I186" s="24">
        <f t="shared" si="2"/>
        <v>8</v>
      </c>
      <c r="J186" s="25">
        <f t="shared" si="3"/>
        <v>2</v>
      </c>
    </row>
    <row r="187">
      <c r="A187" s="16">
        <v>256.0</v>
      </c>
      <c r="B187" s="6" t="s">
        <v>103</v>
      </c>
      <c r="C187" s="6" t="s">
        <v>227</v>
      </c>
      <c r="D187" s="6" t="s">
        <v>54</v>
      </c>
      <c r="E187" s="18">
        <f t="shared" si="1"/>
        <v>6</v>
      </c>
      <c r="F187" s="27">
        <v>0.01</v>
      </c>
      <c r="G187" s="11"/>
      <c r="H187" s="26"/>
      <c r="I187" s="24">
        <f t="shared" si="2"/>
        <v>8</v>
      </c>
      <c r="J187" s="25">
        <f t="shared" si="3"/>
        <v>2</v>
      </c>
    </row>
    <row r="188">
      <c r="A188" s="16">
        <v>6047.0</v>
      </c>
      <c r="B188" s="6" t="s">
        <v>103</v>
      </c>
      <c r="C188" s="6" t="s">
        <v>228</v>
      </c>
      <c r="D188" s="6" t="s">
        <v>47</v>
      </c>
      <c r="E188" s="18">
        <f t="shared" si="1"/>
        <v>6</v>
      </c>
      <c r="F188" s="27">
        <v>0.01</v>
      </c>
      <c r="G188" s="11"/>
      <c r="H188" s="26"/>
      <c r="I188" s="24">
        <f t="shared" si="2"/>
        <v>8</v>
      </c>
      <c r="J188" s="25">
        <f t="shared" si="3"/>
        <v>2</v>
      </c>
    </row>
    <row r="189">
      <c r="A189" s="16">
        <v>4378.0</v>
      </c>
      <c r="B189" s="6" t="s">
        <v>103</v>
      </c>
      <c r="C189" s="6" t="s">
        <v>229</v>
      </c>
      <c r="D189" s="6" t="s">
        <v>35</v>
      </c>
      <c r="E189" s="18">
        <f t="shared" si="1"/>
        <v>6</v>
      </c>
      <c r="F189" s="27">
        <v>0.01</v>
      </c>
      <c r="G189" s="11"/>
      <c r="H189" s="26"/>
      <c r="I189" s="24">
        <f t="shared" si="2"/>
        <v>8</v>
      </c>
      <c r="J189" s="25">
        <f t="shared" si="3"/>
        <v>2</v>
      </c>
    </row>
    <row r="190">
      <c r="A190" s="16">
        <v>7255.0</v>
      </c>
      <c r="B190" s="6" t="s">
        <v>103</v>
      </c>
      <c r="C190" s="6" t="s">
        <v>230</v>
      </c>
      <c r="D190" s="6" t="s">
        <v>50</v>
      </c>
      <c r="E190" s="18">
        <f t="shared" si="1"/>
        <v>6</v>
      </c>
      <c r="F190" s="27">
        <v>0.01</v>
      </c>
      <c r="G190" s="11"/>
      <c r="H190" s="26"/>
      <c r="I190" s="24">
        <f t="shared" si="2"/>
        <v>8</v>
      </c>
      <c r="J190" s="25">
        <f t="shared" si="3"/>
        <v>2</v>
      </c>
    </row>
    <row r="191">
      <c r="A191" s="16">
        <v>7538.0</v>
      </c>
      <c r="B191" s="6" t="s">
        <v>103</v>
      </c>
      <c r="C191" s="6" t="s">
        <v>231</v>
      </c>
      <c r="D191" s="6" t="s">
        <v>54</v>
      </c>
      <c r="E191" s="18">
        <f t="shared" si="1"/>
        <v>6</v>
      </c>
      <c r="F191" s="27">
        <v>0.01</v>
      </c>
      <c r="G191" s="11"/>
      <c r="H191" s="26"/>
      <c r="I191" s="24">
        <f t="shared" si="2"/>
        <v>8</v>
      </c>
      <c r="J191" s="25">
        <f t="shared" si="3"/>
        <v>2</v>
      </c>
    </row>
    <row r="192">
      <c r="A192" s="16">
        <v>6892.0</v>
      </c>
      <c r="B192" s="6" t="s">
        <v>103</v>
      </c>
      <c r="C192" s="6" t="s">
        <v>232</v>
      </c>
      <c r="D192" s="6" t="s">
        <v>54</v>
      </c>
      <c r="E192" s="18">
        <f t="shared" si="1"/>
        <v>6</v>
      </c>
      <c r="F192" s="27">
        <v>0.01</v>
      </c>
      <c r="G192" s="11"/>
      <c r="H192" s="26"/>
      <c r="I192" s="24">
        <f t="shared" si="2"/>
        <v>8</v>
      </c>
      <c r="J192" s="25">
        <f t="shared" si="3"/>
        <v>2</v>
      </c>
    </row>
    <row r="193">
      <c r="A193" s="16">
        <v>5742.0</v>
      </c>
      <c r="B193" s="6" t="s">
        <v>103</v>
      </c>
      <c r="C193" s="6" t="s">
        <v>233</v>
      </c>
      <c r="D193" s="6" t="s">
        <v>47</v>
      </c>
      <c r="E193" s="18">
        <f t="shared" si="1"/>
        <v>6</v>
      </c>
      <c r="F193" s="27">
        <v>0.01</v>
      </c>
      <c r="G193" s="11"/>
      <c r="H193" s="26"/>
      <c r="I193" s="24">
        <f t="shared" si="2"/>
        <v>8</v>
      </c>
      <c r="J193" s="25">
        <f t="shared" si="3"/>
        <v>2</v>
      </c>
    </row>
    <row r="194">
      <c r="A194" s="16">
        <v>6021.0</v>
      </c>
      <c r="B194" s="6" t="s">
        <v>103</v>
      </c>
      <c r="C194" s="6" t="s">
        <v>234</v>
      </c>
      <c r="D194" s="6" t="s">
        <v>39</v>
      </c>
      <c r="E194" s="18">
        <f t="shared" si="1"/>
        <v>6</v>
      </c>
      <c r="F194" s="27">
        <v>0.01</v>
      </c>
      <c r="G194" s="11"/>
      <c r="H194" s="26"/>
      <c r="I194" s="24">
        <f t="shared" si="2"/>
        <v>8</v>
      </c>
      <c r="J194" s="25">
        <f t="shared" si="3"/>
        <v>2</v>
      </c>
    </row>
    <row r="195">
      <c r="A195" s="16">
        <v>5481.0</v>
      </c>
      <c r="B195" s="6" t="s">
        <v>103</v>
      </c>
      <c r="C195" s="6" t="s">
        <v>235</v>
      </c>
      <c r="D195" s="6" t="s">
        <v>54</v>
      </c>
      <c r="E195" s="18">
        <f t="shared" si="1"/>
        <v>6</v>
      </c>
      <c r="F195" s="27">
        <v>0.01</v>
      </c>
      <c r="G195" s="11"/>
      <c r="H195" s="26"/>
      <c r="I195" s="24">
        <f t="shared" si="2"/>
        <v>8</v>
      </c>
      <c r="J195" s="25">
        <f t="shared" si="3"/>
        <v>2</v>
      </c>
    </row>
    <row r="196">
      <c r="A196" s="16">
        <v>2640.0</v>
      </c>
      <c r="B196" s="6" t="s">
        <v>103</v>
      </c>
      <c r="C196" s="6" t="s">
        <v>236</v>
      </c>
      <c r="D196" s="6" t="s">
        <v>25</v>
      </c>
      <c r="E196" s="18">
        <f t="shared" si="1"/>
        <v>5</v>
      </c>
      <c r="F196" s="27">
        <v>0.008</v>
      </c>
      <c r="G196" s="11"/>
      <c r="H196" s="26"/>
      <c r="I196" s="24">
        <f t="shared" si="2"/>
        <v>8</v>
      </c>
      <c r="J196" s="25">
        <f t="shared" si="3"/>
        <v>2</v>
      </c>
    </row>
    <row r="197">
      <c r="A197" s="16">
        <v>4751.0</v>
      </c>
      <c r="B197" s="6" t="s">
        <v>103</v>
      </c>
      <c r="C197" s="6" t="s">
        <v>237</v>
      </c>
      <c r="D197" s="6" t="s">
        <v>23</v>
      </c>
      <c r="E197" s="18">
        <f t="shared" si="1"/>
        <v>5</v>
      </c>
      <c r="F197" s="27">
        <v>0.008</v>
      </c>
      <c r="G197" s="11"/>
      <c r="H197" s="26"/>
      <c r="I197" s="24">
        <f t="shared" si="2"/>
        <v>8</v>
      </c>
      <c r="J197" s="25">
        <f t="shared" si="3"/>
        <v>2</v>
      </c>
    </row>
    <row r="198">
      <c r="A198" s="16">
        <v>7532.0</v>
      </c>
      <c r="B198" s="6" t="s">
        <v>103</v>
      </c>
      <c r="C198" s="6" t="s">
        <v>238</v>
      </c>
      <c r="D198" s="6" t="s">
        <v>43</v>
      </c>
      <c r="E198" s="18">
        <f t="shared" si="1"/>
        <v>5</v>
      </c>
      <c r="F198" s="27">
        <v>0.008</v>
      </c>
      <c r="G198" s="11"/>
      <c r="H198" s="26"/>
      <c r="I198" s="24">
        <f t="shared" si="2"/>
        <v>8</v>
      </c>
      <c r="J198" s="25">
        <f t="shared" si="3"/>
        <v>2</v>
      </c>
    </row>
    <row r="199">
      <c r="A199" s="16">
        <v>5603.0</v>
      </c>
      <c r="B199" s="6" t="s">
        <v>103</v>
      </c>
      <c r="C199" s="6" t="s">
        <v>239</v>
      </c>
      <c r="D199" s="6" t="s">
        <v>35</v>
      </c>
      <c r="E199" s="18">
        <f t="shared" si="1"/>
        <v>5</v>
      </c>
      <c r="F199" s="27">
        <v>0.008</v>
      </c>
      <c r="G199" s="11"/>
      <c r="H199" s="26"/>
      <c r="I199" s="24">
        <f t="shared" si="2"/>
        <v>8</v>
      </c>
      <c r="J199" s="25">
        <f t="shared" si="3"/>
        <v>2</v>
      </c>
    </row>
    <row r="200">
      <c r="A200" s="16">
        <v>5757.0</v>
      </c>
      <c r="B200" s="6" t="s">
        <v>103</v>
      </c>
      <c r="C200" s="6" t="s">
        <v>240</v>
      </c>
      <c r="D200" s="6" t="s">
        <v>63</v>
      </c>
      <c r="E200" s="18">
        <f t="shared" si="1"/>
        <v>5</v>
      </c>
      <c r="F200" s="27">
        <v>0.008</v>
      </c>
      <c r="G200" s="11"/>
      <c r="H200" s="26"/>
      <c r="I200" s="24">
        <f t="shared" si="2"/>
        <v>8</v>
      </c>
      <c r="J200" s="25">
        <f t="shared" si="3"/>
        <v>2</v>
      </c>
    </row>
    <row r="201">
      <c r="A201" s="16">
        <v>7312.0</v>
      </c>
      <c r="B201" s="6" t="s">
        <v>103</v>
      </c>
      <c r="C201" s="6" t="s">
        <v>241</v>
      </c>
      <c r="D201" s="6" t="s">
        <v>39</v>
      </c>
      <c r="E201" s="18">
        <f t="shared" si="1"/>
        <v>5</v>
      </c>
      <c r="F201" s="27">
        <v>0.008</v>
      </c>
      <c r="G201" s="11"/>
      <c r="H201" s="26"/>
      <c r="I201" s="24">
        <f t="shared" si="2"/>
        <v>8</v>
      </c>
      <c r="J201" s="25">
        <f t="shared" si="3"/>
        <v>2</v>
      </c>
    </row>
    <row r="202">
      <c r="A202" s="16">
        <v>4375.0</v>
      </c>
      <c r="B202" s="6" t="s">
        <v>103</v>
      </c>
      <c r="C202" s="6" t="s">
        <v>242</v>
      </c>
      <c r="D202" s="6" t="s">
        <v>63</v>
      </c>
      <c r="E202" s="18">
        <f t="shared" si="1"/>
        <v>5</v>
      </c>
      <c r="F202" s="27">
        <v>0.008</v>
      </c>
      <c r="G202" s="11"/>
      <c r="H202" s="26"/>
      <c r="I202" s="24">
        <f t="shared" si="2"/>
        <v>8</v>
      </c>
      <c r="J202" s="25">
        <f t="shared" si="3"/>
        <v>2</v>
      </c>
    </row>
    <row r="203">
      <c r="A203" s="16">
        <v>4925.0</v>
      </c>
      <c r="B203" s="6" t="s">
        <v>103</v>
      </c>
      <c r="C203" s="6" t="s">
        <v>243</v>
      </c>
      <c r="D203" s="6" t="s">
        <v>52</v>
      </c>
      <c r="E203" s="18">
        <f t="shared" si="1"/>
        <v>5</v>
      </c>
      <c r="F203" s="27">
        <v>0.009</v>
      </c>
      <c r="G203" s="11"/>
      <c r="H203" s="26"/>
      <c r="I203" s="24">
        <f t="shared" si="2"/>
        <v>8</v>
      </c>
      <c r="J203" s="25">
        <f t="shared" si="3"/>
        <v>2</v>
      </c>
    </row>
    <row r="204">
      <c r="A204" s="16">
        <v>7154.0</v>
      </c>
      <c r="B204" s="6" t="s">
        <v>103</v>
      </c>
      <c r="C204" s="6" t="s">
        <v>244</v>
      </c>
      <c r="D204" s="6" t="s">
        <v>59</v>
      </c>
      <c r="E204" s="18">
        <f t="shared" si="1"/>
        <v>5</v>
      </c>
      <c r="F204" s="27">
        <v>0.008</v>
      </c>
      <c r="G204" s="11"/>
      <c r="H204" s="26"/>
      <c r="I204" s="24">
        <f t="shared" si="2"/>
        <v>8</v>
      </c>
      <c r="J204" s="25">
        <f t="shared" si="3"/>
        <v>2</v>
      </c>
    </row>
    <row r="205">
      <c r="A205" s="16">
        <v>7605.0</v>
      </c>
      <c r="B205" s="6" t="s">
        <v>103</v>
      </c>
      <c r="C205" s="6" t="s">
        <v>245</v>
      </c>
      <c r="D205" s="6" t="s">
        <v>63</v>
      </c>
      <c r="E205" s="18">
        <f t="shared" si="1"/>
        <v>5</v>
      </c>
      <c r="F205" s="27">
        <v>0.008</v>
      </c>
      <c r="G205" s="11"/>
      <c r="H205" s="26"/>
      <c r="I205" s="24">
        <f t="shared" si="2"/>
        <v>8</v>
      </c>
      <c r="J205" s="25">
        <f t="shared" si="3"/>
        <v>2</v>
      </c>
    </row>
    <row r="206">
      <c r="A206" s="16">
        <v>6601.0</v>
      </c>
      <c r="B206" s="6" t="s">
        <v>103</v>
      </c>
      <c r="C206" s="6" t="s">
        <v>246</v>
      </c>
      <c r="D206" s="6" t="s">
        <v>29</v>
      </c>
      <c r="E206" s="18">
        <f t="shared" si="1"/>
        <v>5</v>
      </c>
      <c r="F206" s="27">
        <v>0.008</v>
      </c>
      <c r="G206" s="11"/>
      <c r="H206" s="26"/>
      <c r="I206" s="24">
        <f t="shared" si="2"/>
        <v>8</v>
      </c>
      <c r="J206" s="25">
        <f t="shared" si="3"/>
        <v>2</v>
      </c>
    </row>
    <row r="207">
      <c r="A207" s="16">
        <v>6638.0</v>
      </c>
      <c r="B207" s="6" t="s">
        <v>103</v>
      </c>
      <c r="C207" s="6" t="s">
        <v>247</v>
      </c>
      <c r="D207" s="6" t="s">
        <v>27</v>
      </c>
      <c r="E207" s="18">
        <f t="shared" si="1"/>
        <v>5</v>
      </c>
      <c r="F207" s="27">
        <v>0.008</v>
      </c>
      <c r="G207" s="11"/>
      <c r="H207" s="26"/>
      <c r="I207" s="24">
        <f t="shared" si="2"/>
        <v>8</v>
      </c>
      <c r="J207" s="25">
        <f t="shared" si="3"/>
        <v>2</v>
      </c>
    </row>
    <row r="208">
      <c r="A208" s="16">
        <v>7202.0</v>
      </c>
      <c r="B208" s="6" t="s">
        <v>103</v>
      </c>
      <c r="C208" s="6" t="s">
        <v>248</v>
      </c>
      <c r="D208" s="6" t="s">
        <v>50</v>
      </c>
      <c r="E208" s="18">
        <f t="shared" si="1"/>
        <v>5</v>
      </c>
      <c r="F208" s="27">
        <v>0.008</v>
      </c>
      <c r="G208" s="11"/>
      <c r="H208" s="26"/>
      <c r="I208" s="24">
        <f t="shared" si="2"/>
        <v>8</v>
      </c>
      <c r="J208" s="25">
        <f t="shared" si="3"/>
        <v>2</v>
      </c>
    </row>
    <row r="209">
      <c r="A209" s="16">
        <v>5739.0</v>
      </c>
      <c r="B209" s="6" t="s">
        <v>103</v>
      </c>
      <c r="C209" s="6" t="s">
        <v>249</v>
      </c>
      <c r="D209" s="6" t="s">
        <v>23</v>
      </c>
      <c r="E209" s="18">
        <f t="shared" si="1"/>
        <v>4</v>
      </c>
      <c r="F209" s="19">
        <v>0.006</v>
      </c>
      <c r="G209" s="21" t="s">
        <v>126</v>
      </c>
      <c r="H209" s="26"/>
      <c r="I209" s="24">
        <f t="shared" si="2"/>
        <v>5</v>
      </c>
      <c r="J209" s="25">
        <f t="shared" si="3"/>
        <v>2</v>
      </c>
    </row>
    <row r="210">
      <c r="A210" s="16">
        <v>6890.0</v>
      </c>
      <c r="B210" s="6" t="s">
        <v>103</v>
      </c>
      <c r="C210" s="6" t="s">
        <v>250</v>
      </c>
      <c r="D210" s="6" t="s">
        <v>54</v>
      </c>
      <c r="E210" s="18">
        <f t="shared" si="1"/>
        <v>4</v>
      </c>
      <c r="F210" s="27">
        <v>0.006</v>
      </c>
      <c r="G210" s="11"/>
      <c r="H210" s="26"/>
      <c r="I210" s="24">
        <f t="shared" si="2"/>
        <v>8</v>
      </c>
      <c r="J210" s="25">
        <f t="shared" si="3"/>
        <v>2</v>
      </c>
    </row>
    <row r="211">
      <c r="A211" s="16">
        <v>7540.0</v>
      </c>
      <c r="B211" s="6" t="s">
        <v>103</v>
      </c>
      <c r="C211" s="6" t="s">
        <v>251</v>
      </c>
      <c r="D211" s="6" t="s">
        <v>63</v>
      </c>
      <c r="E211" s="18">
        <f t="shared" si="1"/>
        <v>4</v>
      </c>
      <c r="F211" s="27">
        <v>0.006</v>
      </c>
      <c r="G211" s="11"/>
      <c r="H211" s="26"/>
      <c r="I211" s="24">
        <f t="shared" si="2"/>
        <v>8</v>
      </c>
      <c r="J211" s="25">
        <f t="shared" si="3"/>
        <v>2</v>
      </c>
    </row>
    <row r="212">
      <c r="A212" s="16">
        <v>6985.0</v>
      </c>
      <c r="B212" s="6" t="s">
        <v>103</v>
      </c>
      <c r="C212" s="6" t="s">
        <v>252</v>
      </c>
      <c r="D212" s="6" t="s">
        <v>59</v>
      </c>
      <c r="E212" s="18">
        <f t="shared" si="1"/>
        <v>4</v>
      </c>
      <c r="F212" s="27">
        <v>0.007</v>
      </c>
      <c r="G212" s="11"/>
      <c r="H212" s="26"/>
      <c r="I212" s="24">
        <f t="shared" si="2"/>
        <v>8</v>
      </c>
      <c r="J212" s="25">
        <f t="shared" si="3"/>
        <v>2</v>
      </c>
    </row>
    <row r="213">
      <c r="A213" s="16">
        <v>6673.0</v>
      </c>
      <c r="B213" s="6" t="s">
        <v>103</v>
      </c>
      <c r="C213" s="6" t="s">
        <v>253</v>
      </c>
      <c r="D213" s="6" t="s">
        <v>54</v>
      </c>
      <c r="E213" s="18">
        <f t="shared" si="1"/>
        <v>4</v>
      </c>
      <c r="F213" s="27">
        <v>0.007</v>
      </c>
      <c r="G213" s="11"/>
      <c r="H213" s="26"/>
      <c r="I213" s="24">
        <f t="shared" si="2"/>
        <v>8</v>
      </c>
      <c r="J213" s="25">
        <f t="shared" si="3"/>
        <v>2</v>
      </c>
    </row>
    <row r="214">
      <c r="A214" s="16">
        <v>7478.0</v>
      </c>
      <c r="B214" s="6" t="s">
        <v>103</v>
      </c>
      <c r="C214" s="6" t="s">
        <v>254</v>
      </c>
      <c r="D214" s="6" t="s">
        <v>54</v>
      </c>
      <c r="E214" s="18">
        <f t="shared" si="1"/>
        <v>4</v>
      </c>
      <c r="F214" s="27">
        <v>0.007</v>
      </c>
      <c r="G214" s="11"/>
      <c r="H214" s="26"/>
      <c r="I214" s="24">
        <f t="shared" si="2"/>
        <v>8</v>
      </c>
      <c r="J214" s="25">
        <f t="shared" si="3"/>
        <v>2</v>
      </c>
    </row>
    <row r="215">
      <c r="A215" s="16">
        <v>7483.0</v>
      </c>
      <c r="B215" s="6" t="s">
        <v>103</v>
      </c>
      <c r="C215" s="6" t="s">
        <v>255</v>
      </c>
      <c r="D215" s="6" t="s">
        <v>37</v>
      </c>
      <c r="E215" s="18">
        <f t="shared" si="1"/>
        <v>4</v>
      </c>
      <c r="F215" s="27">
        <v>0.006</v>
      </c>
      <c r="G215" s="11"/>
      <c r="H215" s="26"/>
      <c r="I215" s="24">
        <f t="shared" si="2"/>
        <v>8</v>
      </c>
      <c r="J215" s="25">
        <f t="shared" si="3"/>
        <v>2</v>
      </c>
    </row>
    <row r="216">
      <c r="A216" s="16">
        <v>2728.0</v>
      </c>
      <c r="B216" s="6" t="s">
        <v>103</v>
      </c>
      <c r="C216" s="6" t="s">
        <v>256</v>
      </c>
      <c r="D216" s="6" t="s">
        <v>31</v>
      </c>
      <c r="E216" s="18">
        <f t="shared" si="1"/>
        <v>4</v>
      </c>
      <c r="F216" s="27">
        <v>0.007</v>
      </c>
      <c r="G216" s="11"/>
      <c r="H216" s="26"/>
      <c r="I216" s="24">
        <f t="shared" si="2"/>
        <v>8</v>
      </c>
      <c r="J216" s="25">
        <f t="shared" si="3"/>
        <v>2</v>
      </c>
    </row>
    <row r="217">
      <c r="A217" s="16">
        <v>5498.0</v>
      </c>
      <c r="B217" s="6" t="s">
        <v>103</v>
      </c>
      <c r="C217" s="6" t="s">
        <v>257</v>
      </c>
      <c r="D217" s="6" t="s">
        <v>37</v>
      </c>
      <c r="E217" s="18">
        <f t="shared" si="1"/>
        <v>3</v>
      </c>
      <c r="F217" s="27">
        <v>0.005</v>
      </c>
      <c r="G217" s="11"/>
      <c r="H217" s="26"/>
      <c r="I217" s="24">
        <f t="shared" si="2"/>
        <v>8</v>
      </c>
      <c r="J217" s="25">
        <f t="shared" si="3"/>
        <v>2</v>
      </c>
    </row>
    <row r="218">
      <c r="A218" s="16">
        <v>5994.0</v>
      </c>
      <c r="B218" s="6" t="s">
        <v>103</v>
      </c>
      <c r="C218" s="6" t="s">
        <v>258</v>
      </c>
      <c r="D218" s="6" t="s">
        <v>39</v>
      </c>
      <c r="E218" s="18">
        <f t="shared" si="1"/>
        <v>3</v>
      </c>
      <c r="F218" s="27">
        <v>0.005</v>
      </c>
      <c r="G218" s="11"/>
      <c r="H218" s="26"/>
      <c r="I218" s="24">
        <f t="shared" si="2"/>
        <v>8</v>
      </c>
      <c r="J218" s="25">
        <f t="shared" si="3"/>
        <v>2</v>
      </c>
    </row>
    <row r="219">
      <c r="A219" s="16">
        <v>6977.0</v>
      </c>
      <c r="B219" s="6" t="s">
        <v>103</v>
      </c>
      <c r="C219" s="6" t="s">
        <v>259</v>
      </c>
      <c r="D219" s="6" t="s">
        <v>47</v>
      </c>
      <c r="E219" s="18">
        <f t="shared" si="1"/>
        <v>3</v>
      </c>
      <c r="F219" s="27">
        <v>0.005</v>
      </c>
      <c r="G219" s="11"/>
      <c r="H219" s="26"/>
      <c r="I219" s="24">
        <f t="shared" si="2"/>
        <v>8</v>
      </c>
      <c r="J219" s="25">
        <f t="shared" si="3"/>
        <v>2</v>
      </c>
    </row>
    <row r="220">
      <c r="A220" s="16">
        <v>791.0</v>
      </c>
      <c r="B220" s="6" t="s">
        <v>103</v>
      </c>
      <c r="C220" s="6" t="s">
        <v>260</v>
      </c>
      <c r="D220" s="6" t="s">
        <v>47</v>
      </c>
      <c r="E220" s="18">
        <f t="shared" si="1"/>
        <v>3</v>
      </c>
      <c r="F220" s="27">
        <v>0.005</v>
      </c>
      <c r="G220" s="11"/>
      <c r="H220" s="26"/>
      <c r="I220" s="24">
        <f t="shared" si="2"/>
        <v>8</v>
      </c>
      <c r="J220" s="25">
        <f t="shared" si="3"/>
        <v>2</v>
      </c>
    </row>
    <row r="221">
      <c r="A221" s="16">
        <v>2263.0</v>
      </c>
      <c r="B221" s="6" t="s">
        <v>103</v>
      </c>
      <c r="C221" s="6" t="s">
        <v>261</v>
      </c>
      <c r="D221" s="6" t="s">
        <v>31</v>
      </c>
      <c r="E221" s="18">
        <f t="shared" si="1"/>
        <v>3</v>
      </c>
      <c r="F221" s="27">
        <v>0.005</v>
      </c>
      <c r="G221" s="11"/>
      <c r="H221" s="26"/>
      <c r="I221" s="24">
        <f t="shared" si="2"/>
        <v>8</v>
      </c>
      <c r="J221" s="25">
        <f t="shared" si="3"/>
        <v>2</v>
      </c>
    </row>
    <row r="222">
      <c r="A222" s="16">
        <v>7182.0</v>
      </c>
      <c r="B222" s="6" t="s">
        <v>103</v>
      </c>
      <c r="C222" s="6" t="s">
        <v>262</v>
      </c>
      <c r="D222" s="6" t="s">
        <v>41</v>
      </c>
      <c r="E222" s="18">
        <f t="shared" si="1"/>
        <v>3</v>
      </c>
      <c r="F222" s="27">
        <v>0.005</v>
      </c>
      <c r="G222" s="11"/>
      <c r="H222" s="26"/>
      <c r="I222" s="24">
        <f t="shared" si="2"/>
        <v>8</v>
      </c>
      <c r="J222" s="25">
        <f t="shared" si="3"/>
        <v>2</v>
      </c>
    </row>
    <row r="223">
      <c r="A223" s="16">
        <v>252.0</v>
      </c>
      <c r="B223" s="6" t="s">
        <v>103</v>
      </c>
      <c r="C223" s="6" t="s">
        <v>263</v>
      </c>
      <c r="D223" s="6" t="s">
        <v>56</v>
      </c>
      <c r="E223" s="18">
        <f t="shared" si="1"/>
        <v>3</v>
      </c>
      <c r="F223" s="27">
        <v>0.005</v>
      </c>
      <c r="G223" s="11"/>
      <c r="H223" s="26"/>
      <c r="I223" s="24">
        <f t="shared" si="2"/>
        <v>8</v>
      </c>
      <c r="J223" s="25">
        <f t="shared" si="3"/>
        <v>2</v>
      </c>
    </row>
    <row r="224">
      <c r="A224" s="16">
        <v>7548.0</v>
      </c>
      <c r="B224" s="6" t="s">
        <v>103</v>
      </c>
      <c r="C224" s="6" t="s">
        <v>264</v>
      </c>
      <c r="D224" s="6" t="s">
        <v>43</v>
      </c>
      <c r="E224" s="18">
        <f t="shared" si="1"/>
        <v>3</v>
      </c>
      <c r="F224" s="27">
        <v>0.005</v>
      </c>
      <c r="G224" s="11"/>
      <c r="H224" s="26"/>
      <c r="I224" s="24">
        <f t="shared" si="2"/>
        <v>8</v>
      </c>
      <c r="J224" s="25">
        <f t="shared" si="3"/>
        <v>2</v>
      </c>
    </row>
    <row r="225">
      <c r="A225" s="16">
        <v>6537.0</v>
      </c>
      <c r="B225" s="6" t="s">
        <v>103</v>
      </c>
      <c r="C225" s="6" t="s">
        <v>265</v>
      </c>
      <c r="D225" s="6" t="s">
        <v>52</v>
      </c>
      <c r="E225" s="18">
        <f t="shared" si="1"/>
        <v>3</v>
      </c>
      <c r="F225" s="27">
        <v>0.005</v>
      </c>
      <c r="G225" s="11"/>
      <c r="H225" s="26"/>
      <c r="I225" s="24">
        <f t="shared" si="2"/>
        <v>8</v>
      </c>
      <c r="J225" s="25">
        <f t="shared" si="3"/>
        <v>2</v>
      </c>
    </row>
    <row r="226">
      <c r="A226" s="16">
        <v>7125.0</v>
      </c>
      <c r="B226" s="6" t="s">
        <v>103</v>
      </c>
      <c r="C226" s="6" t="s">
        <v>266</v>
      </c>
      <c r="D226" s="6" t="s">
        <v>43</v>
      </c>
      <c r="E226" s="18">
        <f t="shared" si="1"/>
        <v>2</v>
      </c>
      <c r="F226" s="27">
        <v>0.003</v>
      </c>
      <c r="G226" s="11"/>
      <c r="H226" s="26"/>
      <c r="I226" s="24">
        <f t="shared" si="2"/>
        <v>8</v>
      </c>
      <c r="J226" s="25">
        <f t="shared" si="3"/>
        <v>2</v>
      </c>
    </row>
    <row r="227">
      <c r="A227" s="16">
        <v>7413.0</v>
      </c>
      <c r="B227" s="6" t="s">
        <v>103</v>
      </c>
      <c r="C227" s="6" t="s">
        <v>267</v>
      </c>
      <c r="D227" s="6" t="s">
        <v>47</v>
      </c>
      <c r="E227" s="18">
        <f t="shared" si="1"/>
        <v>2</v>
      </c>
      <c r="F227" s="27">
        <v>0.003</v>
      </c>
      <c r="G227" s="11"/>
      <c r="H227" s="26"/>
      <c r="I227" s="24">
        <f t="shared" si="2"/>
        <v>8</v>
      </c>
      <c r="J227" s="25">
        <f t="shared" si="3"/>
        <v>2</v>
      </c>
    </row>
    <row r="228">
      <c r="A228" s="16">
        <v>6883.0</v>
      </c>
      <c r="B228" s="6" t="s">
        <v>103</v>
      </c>
      <c r="C228" s="6" t="s">
        <v>268</v>
      </c>
      <c r="D228" s="6" t="s">
        <v>41</v>
      </c>
      <c r="E228" s="18">
        <f t="shared" si="1"/>
        <v>2</v>
      </c>
      <c r="F228" s="27">
        <v>0.004</v>
      </c>
      <c r="G228" s="11"/>
      <c r="H228" s="26"/>
      <c r="I228" s="24">
        <f t="shared" si="2"/>
        <v>8</v>
      </c>
      <c r="J228" s="25">
        <f t="shared" si="3"/>
        <v>2</v>
      </c>
    </row>
    <row r="229">
      <c r="A229" s="16">
        <v>7525.0</v>
      </c>
      <c r="B229" s="6" t="s">
        <v>103</v>
      </c>
      <c r="C229" s="6" t="s">
        <v>269</v>
      </c>
      <c r="D229" s="6" t="s">
        <v>23</v>
      </c>
      <c r="E229" s="18">
        <f t="shared" si="1"/>
        <v>2</v>
      </c>
      <c r="F229" s="27">
        <v>0.004</v>
      </c>
      <c r="G229" s="11"/>
      <c r="H229" s="26"/>
      <c r="I229" s="24">
        <f t="shared" si="2"/>
        <v>8</v>
      </c>
      <c r="J229" s="25">
        <f t="shared" si="3"/>
        <v>2</v>
      </c>
    </row>
    <row r="230">
      <c r="A230" s="16">
        <v>7476.0</v>
      </c>
      <c r="B230" s="6" t="s">
        <v>103</v>
      </c>
      <c r="C230" s="6" t="s">
        <v>270</v>
      </c>
      <c r="D230" s="6" t="s">
        <v>52</v>
      </c>
      <c r="E230" s="18">
        <f t="shared" si="1"/>
        <v>2</v>
      </c>
      <c r="F230" s="27">
        <v>0.004</v>
      </c>
      <c r="G230" s="11"/>
      <c r="H230" s="26"/>
      <c r="I230" s="24">
        <f t="shared" si="2"/>
        <v>8</v>
      </c>
      <c r="J230" s="25">
        <f t="shared" si="3"/>
        <v>2</v>
      </c>
    </row>
    <row r="231">
      <c r="A231" s="16">
        <v>6681.0</v>
      </c>
      <c r="B231" s="6" t="s">
        <v>103</v>
      </c>
      <c r="C231" s="6" t="s">
        <v>271</v>
      </c>
      <c r="D231" s="6" t="s">
        <v>54</v>
      </c>
      <c r="E231" s="18">
        <f t="shared" si="1"/>
        <v>2</v>
      </c>
      <c r="F231" s="27">
        <v>0.004</v>
      </c>
      <c r="G231" s="11"/>
      <c r="H231" s="26"/>
      <c r="I231" s="24">
        <f t="shared" si="2"/>
        <v>8</v>
      </c>
      <c r="J231" s="25">
        <f t="shared" si="3"/>
        <v>2</v>
      </c>
    </row>
    <row r="232">
      <c r="A232" s="16">
        <v>7573.0</v>
      </c>
      <c r="B232" s="6" t="s">
        <v>103</v>
      </c>
      <c r="C232" s="6" t="s">
        <v>272</v>
      </c>
      <c r="D232" s="6" t="s">
        <v>59</v>
      </c>
      <c r="E232" s="18">
        <f t="shared" si="1"/>
        <v>2</v>
      </c>
      <c r="F232" s="27">
        <v>0.004</v>
      </c>
      <c r="G232" s="11"/>
      <c r="H232" s="26"/>
      <c r="I232" s="24">
        <f t="shared" si="2"/>
        <v>8</v>
      </c>
      <c r="J232" s="25">
        <f t="shared" si="3"/>
        <v>2</v>
      </c>
    </row>
    <row r="233">
      <c r="A233" s="16">
        <v>5812.0</v>
      </c>
      <c r="B233" s="6" t="s">
        <v>103</v>
      </c>
      <c r="C233" s="6" t="s">
        <v>273</v>
      </c>
      <c r="D233" s="6" t="s">
        <v>23</v>
      </c>
      <c r="E233" s="18">
        <f t="shared" si="1"/>
        <v>2</v>
      </c>
      <c r="F233" s="27">
        <v>0.004</v>
      </c>
      <c r="G233" s="11"/>
      <c r="H233" s="26"/>
      <c r="I233" s="24">
        <f t="shared" si="2"/>
        <v>8</v>
      </c>
      <c r="J233" s="25">
        <f t="shared" si="3"/>
        <v>2</v>
      </c>
    </row>
    <row r="234">
      <c r="A234" s="16">
        <v>487.0</v>
      </c>
      <c r="B234" s="6" t="s">
        <v>103</v>
      </c>
      <c r="C234" s="6" t="s">
        <v>274</v>
      </c>
      <c r="D234" s="6" t="s">
        <v>37</v>
      </c>
      <c r="E234" s="18">
        <f t="shared" si="1"/>
        <v>2</v>
      </c>
      <c r="F234" s="27">
        <v>0.004</v>
      </c>
      <c r="G234" s="11"/>
      <c r="H234" s="26"/>
      <c r="I234" s="24">
        <f t="shared" si="2"/>
        <v>8</v>
      </c>
      <c r="J234" s="25">
        <f t="shared" si="3"/>
        <v>2</v>
      </c>
    </row>
    <row r="235">
      <c r="A235" s="16">
        <v>294.0</v>
      </c>
      <c r="B235" s="6" t="s">
        <v>103</v>
      </c>
      <c r="C235" s="6" t="s">
        <v>275</v>
      </c>
      <c r="D235" s="6" t="s">
        <v>21</v>
      </c>
      <c r="E235" s="18">
        <f t="shared" si="1"/>
        <v>2</v>
      </c>
      <c r="F235" s="27">
        <v>0.003</v>
      </c>
      <c r="G235" s="11"/>
      <c r="H235" s="26"/>
      <c r="I235" s="24">
        <f t="shared" si="2"/>
        <v>8</v>
      </c>
      <c r="J235" s="25">
        <f t="shared" si="3"/>
        <v>2</v>
      </c>
    </row>
    <row r="236">
      <c r="A236" s="16">
        <v>6039.0</v>
      </c>
      <c r="B236" s="6" t="s">
        <v>103</v>
      </c>
      <c r="C236" s="6" t="s">
        <v>276</v>
      </c>
      <c r="D236" s="6" t="s">
        <v>21</v>
      </c>
      <c r="E236" s="18">
        <f t="shared" si="1"/>
        <v>2</v>
      </c>
      <c r="F236" s="27">
        <v>0.004</v>
      </c>
      <c r="G236" s="11"/>
      <c r="H236" s="26"/>
      <c r="I236" s="24">
        <f t="shared" si="2"/>
        <v>8</v>
      </c>
      <c r="J236" s="25">
        <f t="shared" si="3"/>
        <v>2</v>
      </c>
    </row>
    <row r="237">
      <c r="A237" s="16">
        <v>6809.0</v>
      </c>
      <c r="B237" s="6" t="s">
        <v>103</v>
      </c>
      <c r="C237" s="6" t="s">
        <v>277</v>
      </c>
      <c r="D237" s="6" t="s">
        <v>27</v>
      </c>
      <c r="E237" s="18">
        <f t="shared" si="1"/>
        <v>2</v>
      </c>
      <c r="F237" s="27">
        <v>0.003</v>
      </c>
      <c r="G237" s="11"/>
      <c r="H237" s="26"/>
      <c r="I237" s="24">
        <f t="shared" si="2"/>
        <v>8</v>
      </c>
      <c r="J237" s="25">
        <f t="shared" si="3"/>
        <v>2</v>
      </c>
    </row>
    <row r="238">
      <c r="A238" s="16">
        <v>6149.0</v>
      </c>
      <c r="B238" s="6" t="s">
        <v>103</v>
      </c>
      <c r="C238" s="6" t="s">
        <v>278</v>
      </c>
      <c r="D238" s="6" t="s">
        <v>50</v>
      </c>
      <c r="E238" s="18">
        <f t="shared" si="1"/>
        <v>2</v>
      </c>
      <c r="F238" s="27">
        <v>0.003</v>
      </c>
      <c r="G238" s="11"/>
      <c r="H238" s="26"/>
      <c r="I238" s="24">
        <f t="shared" si="2"/>
        <v>8</v>
      </c>
      <c r="J238" s="25">
        <f t="shared" si="3"/>
        <v>2</v>
      </c>
    </row>
    <row r="239">
      <c r="A239" s="16">
        <v>6495.0</v>
      </c>
      <c r="B239" s="6" t="s">
        <v>103</v>
      </c>
      <c r="C239" s="6" t="s">
        <v>279</v>
      </c>
      <c r="D239" s="6" t="s">
        <v>56</v>
      </c>
      <c r="E239" s="18">
        <f t="shared" si="1"/>
        <v>1</v>
      </c>
      <c r="F239" s="19">
        <v>0.001</v>
      </c>
      <c r="G239" s="21" t="s">
        <v>132</v>
      </c>
      <c r="H239" s="26"/>
      <c r="I239" s="24">
        <f t="shared" si="2"/>
        <v>6</v>
      </c>
      <c r="J239" s="25">
        <f t="shared" si="3"/>
        <v>2</v>
      </c>
    </row>
    <row r="240">
      <c r="A240" s="16">
        <v>4137.0</v>
      </c>
      <c r="B240" s="6" t="s">
        <v>103</v>
      </c>
      <c r="C240" s="6" t="s">
        <v>280</v>
      </c>
      <c r="D240" s="6" t="s">
        <v>50</v>
      </c>
      <c r="E240" s="18">
        <f t="shared" si="1"/>
        <v>1</v>
      </c>
      <c r="F240" s="19">
        <v>0.001</v>
      </c>
      <c r="G240" s="21" t="s">
        <v>132</v>
      </c>
      <c r="H240" s="26"/>
      <c r="I240" s="24">
        <f t="shared" si="2"/>
        <v>6</v>
      </c>
      <c r="J240" s="25">
        <f t="shared" si="3"/>
        <v>2</v>
      </c>
    </row>
    <row r="241">
      <c r="A241" s="16">
        <v>6660.0</v>
      </c>
      <c r="B241" s="6" t="s">
        <v>103</v>
      </c>
      <c r="C241" s="6" t="s">
        <v>281</v>
      </c>
      <c r="D241" s="6" t="s">
        <v>47</v>
      </c>
      <c r="E241" s="18">
        <f t="shared" si="1"/>
        <v>1</v>
      </c>
      <c r="F241" s="19">
        <v>0.002</v>
      </c>
      <c r="G241" s="21" t="s">
        <v>132</v>
      </c>
      <c r="H241" s="22" t="s">
        <v>33</v>
      </c>
      <c r="I241" s="24">
        <f t="shared" si="2"/>
        <v>6</v>
      </c>
      <c r="J241" s="25">
        <f t="shared" si="3"/>
        <v>2</v>
      </c>
    </row>
    <row r="242">
      <c r="A242" s="16">
        <v>7069.0</v>
      </c>
      <c r="B242" s="6" t="s">
        <v>103</v>
      </c>
      <c r="C242" s="6" t="s">
        <v>282</v>
      </c>
      <c r="D242" s="6" t="s">
        <v>56</v>
      </c>
      <c r="E242" s="18">
        <f t="shared" si="1"/>
        <v>1</v>
      </c>
      <c r="F242" s="19">
        <v>0.002</v>
      </c>
      <c r="G242" s="21" t="s">
        <v>126</v>
      </c>
      <c r="H242" s="22" t="s">
        <v>33</v>
      </c>
      <c r="I242" s="24">
        <f t="shared" si="2"/>
        <v>5</v>
      </c>
      <c r="J242" s="25">
        <f t="shared" si="3"/>
        <v>2</v>
      </c>
    </row>
    <row r="243">
      <c r="A243" s="16">
        <v>7621.0</v>
      </c>
      <c r="B243" s="6" t="s">
        <v>103</v>
      </c>
      <c r="C243" s="6" t="s">
        <v>283</v>
      </c>
      <c r="D243" s="6" t="s">
        <v>43</v>
      </c>
      <c r="E243" s="18">
        <f t="shared" si="1"/>
        <v>1</v>
      </c>
      <c r="F243" s="19">
        <v>0.002</v>
      </c>
      <c r="G243" s="21" t="s">
        <v>126</v>
      </c>
      <c r="H243" s="26"/>
      <c r="I243" s="24">
        <f t="shared" si="2"/>
        <v>5</v>
      </c>
      <c r="J243" s="25">
        <f t="shared" si="3"/>
        <v>2</v>
      </c>
    </row>
    <row r="244">
      <c r="A244" s="16">
        <v>7563.0</v>
      </c>
      <c r="B244" s="6" t="s">
        <v>103</v>
      </c>
      <c r="C244" s="6" t="s">
        <v>284</v>
      </c>
      <c r="D244" s="6" t="s">
        <v>27</v>
      </c>
      <c r="E244" s="18">
        <f t="shared" si="1"/>
        <v>1</v>
      </c>
      <c r="F244" s="19">
        <v>0.002</v>
      </c>
      <c r="G244" s="21" t="s">
        <v>126</v>
      </c>
      <c r="H244" s="22" t="s">
        <v>33</v>
      </c>
      <c r="I244" s="24">
        <f t="shared" si="2"/>
        <v>5</v>
      </c>
      <c r="J244" s="25">
        <f t="shared" si="3"/>
        <v>2</v>
      </c>
    </row>
    <row r="245">
      <c r="A245" s="16">
        <v>7615.0</v>
      </c>
      <c r="B245" s="6" t="s">
        <v>103</v>
      </c>
      <c r="C245" s="6" t="s">
        <v>285</v>
      </c>
      <c r="D245" s="6" t="s">
        <v>50</v>
      </c>
      <c r="E245" s="18">
        <f t="shared" si="1"/>
        <v>1</v>
      </c>
      <c r="F245" s="27">
        <v>0.001</v>
      </c>
      <c r="G245" s="11"/>
      <c r="H245" s="26"/>
      <c r="I245" s="24">
        <f t="shared" si="2"/>
        <v>8</v>
      </c>
      <c r="J245" s="25">
        <f t="shared" si="3"/>
        <v>2</v>
      </c>
    </row>
    <row r="246">
      <c r="A246" s="16">
        <v>418.0</v>
      </c>
      <c r="B246" s="6" t="s">
        <v>103</v>
      </c>
      <c r="C246" s="6" t="s">
        <v>286</v>
      </c>
      <c r="D246" s="6" t="s">
        <v>29</v>
      </c>
      <c r="E246" s="18">
        <f t="shared" si="1"/>
        <v>1</v>
      </c>
      <c r="F246" s="27">
        <v>0.001</v>
      </c>
      <c r="G246" s="11"/>
      <c r="H246" s="26"/>
      <c r="I246" s="24">
        <f t="shared" si="2"/>
        <v>8</v>
      </c>
      <c r="J246" s="25">
        <f t="shared" si="3"/>
        <v>2</v>
      </c>
    </row>
    <row r="247">
      <c r="A247" s="16">
        <v>5424.0</v>
      </c>
      <c r="B247" s="6" t="s">
        <v>103</v>
      </c>
      <c r="C247" s="6" t="s">
        <v>287</v>
      </c>
      <c r="D247" s="6" t="s">
        <v>63</v>
      </c>
      <c r="E247" s="18">
        <f t="shared" si="1"/>
        <v>1</v>
      </c>
      <c r="F247" s="27">
        <v>0.001</v>
      </c>
      <c r="G247" s="11"/>
      <c r="H247" s="26"/>
      <c r="I247" s="24">
        <f t="shared" si="2"/>
        <v>8</v>
      </c>
      <c r="J247" s="25">
        <f t="shared" si="3"/>
        <v>2</v>
      </c>
    </row>
    <row r="248">
      <c r="A248" s="16">
        <v>327.0</v>
      </c>
      <c r="B248" s="6" t="s">
        <v>103</v>
      </c>
      <c r="C248" s="6" t="s">
        <v>288</v>
      </c>
      <c r="D248" s="6" t="s">
        <v>31</v>
      </c>
      <c r="E248" s="18">
        <f t="shared" si="1"/>
        <v>1</v>
      </c>
      <c r="F248" s="27">
        <v>0.001</v>
      </c>
      <c r="G248" s="11"/>
      <c r="H248" s="26"/>
      <c r="I248" s="24">
        <f t="shared" si="2"/>
        <v>8</v>
      </c>
      <c r="J248" s="25">
        <f t="shared" si="3"/>
        <v>2</v>
      </c>
    </row>
    <row r="249">
      <c r="A249" s="16">
        <v>5399.0</v>
      </c>
      <c r="B249" s="6" t="s">
        <v>103</v>
      </c>
      <c r="C249" s="6" t="s">
        <v>289</v>
      </c>
      <c r="D249" s="6" t="s">
        <v>52</v>
      </c>
      <c r="E249" s="18">
        <f t="shared" si="1"/>
        <v>1</v>
      </c>
      <c r="F249" s="27">
        <v>0.002</v>
      </c>
      <c r="G249" s="11"/>
      <c r="H249" s="26"/>
      <c r="I249" s="24">
        <f t="shared" si="2"/>
        <v>8</v>
      </c>
      <c r="J249" s="25">
        <f t="shared" si="3"/>
        <v>2</v>
      </c>
    </row>
    <row r="250">
      <c r="A250" s="16">
        <v>7260.0</v>
      </c>
      <c r="B250" s="6" t="s">
        <v>103</v>
      </c>
      <c r="C250" s="6" t="s">
        <v>290</v>
      </c>
      <c r="D250" s="6" t="s">
        <v>52</v>
      </c>
      <c r="E250" s="18">
        <f t="shared" si="1"/>
        <v>1</v>
      </c>
      <c r="F250" s="19">
        <v>0.002</v>
      </c>
      <c r="G250" s="21" t="s">
        <v>126</v>
      </c>
      <c r="H250" s="26"/>
      <c r="I250" s="24">
        <f t="shared" si="2"/>
        <v>5</v>
      </c>
      <c r="J250" s="25">
        <f t="shared" si="3"/>
        <v>2</v>
      </c>
    </row>
    <row r="251">
      <c r="A251" s="16">
        <v>7156.0</v>
      </c>
      <c r="B251" s="6" t="s">
        <v>103</v>
      </c>
      <c r="C251" s="6" t="s">
        <v>291</v>
      </c>
      <c r="D251" s="6" t="s">
        <v>59</v>
      </c>
      <c r="E251" s="18">
        <f t="shared" si="1"/>
        <v>1</v>
      </c>
      <c r="F251" s="27">
        <v>0.001</v>
      </c>
      <c r="G251" s="11"/>
      <c r="H251" s="26"/>
      <c r="I251" s="24">
        <f t="shared" si="2"/>
        <v>8</v>
      </c>
      <c r="J251" s="25">
        <f t="shared" si="3"/>
        <v>2</v>
      </c>
    </row>
    <row r="252">
      <c r="A252" s="16">
        <v>7454.0</v>
      </c>
      <c r="B252" s="6" t="s">
        <v>103</v>
      </c>
      <c r="C252" s="6" t="s">
        <v>292</v>
      </c>
      <c r="D252" s="6" t="s">
        <v>54</v>
      </c>
      <c r="E252" s="18">
        <f t="shared" si="1"/>
        <v>1</v>
      </c>
      <c r="F252" s="27">
        <v>0.001</v>
      </c>
      <c r="G252" s="11"/>
      <c r="H252" s="26"/>
      <c r="I252" s="24">
        <f t="shared" si="2"/>
        <v>8</v>
      </c>
      <c r="J252" s="25">
        <f t="shared" si="3"/>
        <v>2</v>
      </c>
    </row>
    <row r="253">
      <c r="A253" s="16">
        <v>7553.0</v>
      </c>
      <c r="B253" s="6" t="s">
        <v>103</v>
      </c>
      <c r="C253" s="6" t="s">
        <v>293</v>
      </c>
      <c r="D253" s="6" t="s">
        <v>63</v>
      </c>
      <c r="E253" s="18">
        <f t="shared" si="1"/>
        <v>1</v>
      </c>
      <c r="F253" s="27">
        <v>0.001</v>
      </c>
      <c r="G253" s="11"/>
      <c r="H253" s="26"/>
      <c r="I253" s="24">
        <f t="shared" si="2"/>
        <v>8</v>
      </c>
      <c r="J253" s="25">
        <f t="shared" si="3"/>
        <v>2</v>
      </c>
    </row>
    <row r="254">
      <c r="A254" s="16">
        <v>7604.0</v>
      </c>
      <c r="B254" s="6" t="s">
        <v>103</v>
      </c>
      <c r="C254" s="6" t="s">
        <v>294</v>
      </c>
      <c r="D254" s="6" t="s">
        <v>52</v>
      </c>
      <c r="E254" s="18">
        <f t="shared" si="1"/>
        <v>1</v>
      </c>
      <c r="F254" s="27">
        <v>0.001</v>
      </c>
      <c r="G254" s="11"/>
      <c r="H254" s="26"/>
      <c r="I254" s="24">
        <f t="shared" si="2"/>
        <v>8</v>
      </c>
      <c r="J254" s="25">
        <f t="shared" si="3"/>
        <v>2</v>
      </c>
    </row>
    <row r="255">
      <c r="A255" s="16">
        <v>6826.0</v>
      </c>
      <c r="B255" s="6" t="s">
        <v>103</v>
      </c>
      <c r="C255" s="6" t="s">
        <v>295</v>
      </c>
      <c r="D255" s="6" t="s">
        <v>41</v>
      </c>
      <c r="E255" s="18">
        <f t="shared" si="1"/>
        <v>1</v>
      </c>
      <c r="F255" s="19">
        <v>0.001</v>
      </c>
      <c r="G255" s="11"/>
      <c r="H255" s="26"/>
      <c r="I255" s="24">
        <f t="shared" si="2"/>
        <v>8</v>
      </c>
      <c r="J255" s="25">
        <f t="shared" si="3"/>
        <v>2</v>
      </c>
    </row>
    <row r="256">
      <c r="A256" s="29">
        <v>6875.0</v>
      </c>
      <c r="B256" s="6" t="s">
        <v>296</v>
      </c>
      <c r="C256" s="6" t="s">
        <v>297</v>
      </c>
      <c r="D256" s="6" t="s">
        <v>29</v>
      </c>
      <c r="E256" s="18">
        <f t="shared" si="1"/>
        <v>120</v>
      </c>
      <c r="F256" s="19">
        <v>0.2</v>
      </c>
      <c r="G256" s="21" t="s">
        <v>17</v>
      </c>
      <c r="H256" s="22" t="s">
        <v>33</v>
      </c>
      <c r="I256" s="24">
        <f t="shared" si="2"/>
        <v>1</v>
      </c>
      <c r="J256" s="25">
        <f t="shared" si="3"/>
        <v>3</v>
      </c>
    </row>
    <row r="257">
      <c r="A257" s="16">
        <v>2194.0</v>
      </c>
      <c r="B257" s="6" t="s">
        <v>296</v>
      </c>
      <c r="C257" s="6" t="s">
        <v>298</v>
      </c>
      <c r="D257" s="6" t="s">
        <v>19</v>
      </c>
      <c r="E257" s="18">
        <f t="shared" si="1"/>
        <v>90</v>
      </c>
      <c r="F257" s="19">
        <v>0.15</v>
      </c>
      <c r="G257" s="21" t="s">
        <v>17</v>
      </c>
      <c r="H257" s="26"/>
      <c r="I257" s="24">
        <f t="shared" si="2"/>
        <v>1</v>
      </c>
      <c r="J257" s="25">
        <f t="shared" si="3"/>
        <v>3</v>
      </c>
    </row>
    <row r="258">
      <c r="A258" s="16">
        <v>4777.0</v>
      </c>
      <c r="B258" s="6" t="s">
        <v>296</v>
      </c>
      <c r="C258" s="6" t="s">
        <v>299</v>
      </c>
      <c r="D258" s="6" t="s">
        <v>27</v>
      </c>
      <c r="E258" s="18">
        <f t="shared" si="1"/>
        <v>60</v>
      </c>
      <c r="F258" s="19">
        <v>0.1</v>
      </c>
      <c r="G258" s="21" t="s">
        <v>32</v>
      </c>
      <c r="H258" s="26"/>
      <c r="I258" s="24">
        <f t="shared" si="2"/>
        <v>2</v>
      </c>
      <c r="J258" s="25">
        <f t="shared" si="3"/>
        <v>3</v>
      </c>
    </row>
    <row r="259">
      <c r="A259" s="16">
        <v>2167.0</v>
      </c>
      <c r="B259" s="6" t="s">
        <v>296</v>
      </c>
      <c r="C259" s="6" t="s">
        <v>300</v>
      </c>
      <c r="D259" s="6" t="s">
        <v>37</v>
      </c>
      <c r="E259" s="18">
        <f t="shared" si="1"/>
        <v>60</v>
      </c>
      <c r="F259" s="19">
        <v>0.1</v>
      </c>
      <c r="G259" s="21" t="s">
        <v>32</v>
      </c>
      <c r="H259" s="26"/>
      <c r="I259" s="24">
        <f t="shared" si="2"/>
        <v>2</v>
      </c>
      <c r="J259" s="25">
        <f t="shared" si="3"/>
        <v>3</v>
      </c>
    </row>
    <row r="260">
      <c r="A260" s="16">
        <v>2423.0</v>
      </c>
      <c r="B260" s="6" t="s">
        <v>296</v>
      </c>
      <c r="C260" s="6" t="s">
        <v>301</v>
      </c>
      <c r="D260" s="6" t="s">
        <v>23</v>
      </c>
      <c r="E260" s="18">
        <f t="shared" si="1"/>
        <v>60</v>
      </c>
      <c r="F260" s="19">
        <v>0.1</v>
      </c>
      <c r="G260" s="21" t="s">
        <v>32</v>
      </c>
      <c r="H260" s="26"/>
      <c r="I260" s="24">
        <f t="shared" si="2"/>
        <v>2</v>
      </c>
      <c r="J260" s="25">
        <f t="shared" si="3"/>
        <v>3</v>
      </c>
    </row>
    <row r="261">
      <c r="A261" s="16">
        <v>7126.0</v>
      </c>
      <c r="B261" s="6" t="s">
        <v>296</v>
      </c>
      <c r="C261" s="6" t="s">
        <v>302</v>
      </c>
      <c r="D261" s="6" t="s">
        <v>29</v>
      </c>
      <c r="E261" s="18">
        <f t="shared" si="1"/>
        <v>60</v>
      </c>
      <c r="F261" s="19">
        <v>0.1</v>
      </c>
      <c r="G261" s="21" t="s">
        <v>32</v>
      </c>
      <c r="H261" s="26"/>
      <c r="I261" s="24">
        <f t="shared" si="2"/>
        <v>2</v>
      </c>
      <c r="J261" s="25">
        <f t="shared" si="3"/>
        <v>3</v>
      </c>
    </row>
    <row r="262">
      <c r="A262" s="16">
        <v>7556.0</v>
      </c>
      <c r="B262" s="6" t="s">
        <v>296</v>
      </c>
      <c r="C262" s="6" t="s">
        <v>303</v>
      </c>
      <c r="D262" s="6" t="s">
        <v>16</v>
      </c>
      <c r="E262" s="18">
        <f t="shared" si="1"/>
        <v>60</v>
      </c>
      <c r="F262" s="27">
        <v>0.1</v>
      </c>
      <c r="G262" s="21" t="s">
        <v>32</v>
      </c>
      <c r="H262" s="22" t="s">
        <v>33</v>
      </c>
      <c r="I262" s="24">
        <f t="shared" si="2"/>
        <v>2</v>
      </c>
      <c r="J262" s="25">
        <f t="shared" si="3"/>
        <v>3</v>
      </c>
    </row>
    <row r="263">
      <c r="A263" s="16">
        <v>2379.0</v>
      </c>
      <c r="B263" s="6" t="s">
        <v>296</v>
      </c>
      <c r="C263" s="6" t="s">
        <v>304</v>
      </c>
      <c r="D263" s="6" t="s">
        <v>23</v>
      </c>
      <c r="E263" s="18">
        <f t="shared" si="1"/>
        <v>48</v>
      </c>
      <c r="F263" s="19">
        <v>0.08</v>
      </c>
      <c r="G263" s="21" t="s">
        <v>45</v>
      </c>
      <c r="H263" s="26"/>
      <c r="I263" s="24">
        <f t="shared" si="2"/>
        <v>3</v>
      </c>
      <c r="J263" s="25">
        <f t="shared" si="3"/>
        <v>3</v>
      </c>
    </row>
    <row r="264">
      <c r="A264" s="16">
        <v>2517.0</v>
      </c>
      <c r="B264" s="6" t="s">
        <v>296</v>
      </c>
      <c r="C264" s="6" t="s">
        <v>305</v>
      </c>
      <c r="D264" s="6" t="s">
        <v>27</v>
      </c>
      <c r="E264" s="18">
        <f t="shared" si="1"/>
        <v>48</v>
      </c>
      <c r="F264" s="19">
        <v>0.08</v>
      </c>
      <c r="G264" s="21" t="s">
        <v>45</v>
      </c>
      <c r="H264" s="26"/>
      <c r="I264" s="24">
        <f t="shared" si="2"/>
        <v>3</v>
      </c>
      <c r="J264" s="25">
        <f t="shared" si="3"/>
        <v>3</v>
      </c>
    </row>
    <row r="265">
      <c r="A265" s="16">
        <v>2848.0</v>
      </c>
      <c r="B265" s="6" t="s">
        <v>296</v>
      </c>
      <c r="C265" s="6" t="s">
        <v>306</v>
      </c>
      <c r="D265" s="6" t="s">
        <v>31</v>
      </c>
      <c r="E265" s="18">
        <f t="shared" si="1"/>
        <v>45</v>
      </c>
      <c r="F265" s="27">
        <v>0.075</v>
      </c>
      <c r="G265" s="21" t="s">
        <v>45</v>
      </c>
      <c r="H265" s="26"/>
      <c r="I265" s="24">
        <f t="shared" si="2"/>
        <v>3</v>
      </c>
      <c r="J265" s="25">
        <f t="shared" si="3"/>
        <v>3</v>
      </c>
    </row>
    <row r="266">
      <c r="A266" s="16">
        <v>5559.0</v>
      </c>
      <c r="B266" s="6" t="s">
        <v>296</v>
      </c>
      <c r="C266" s="6" t="s">
        <v>307</v>
      </c>
      <c r="D266" s="6" t="s">
        <v>29</v>
      </c>
      <c r="E266" s="18">
        <f t="shared" si="1"/>
        <v>42</v>
      </c>
      <c r="F266" s="19">
        <v>0.07</v>
      </c>
      <c r="G266" s="21" t="s">
        <v>45</v>
      </c>
      <c r="H266" s="26"/>
      <c r="I266" s="24">
        <f t="shared" si="2"/>
        <v>3</v>
      </c>
      <c r="J266" s="25">
        <f t="shared" si="3"/>
        <v>3</v>
      </c>
    </row>
    <row r="267">
      <c r="A267" s="16">
        <v>2766.0</v>
      </c>
      <c r="B267" s="6" t="s">
        <v>296</v>
      </c>
      <c r="C267" s="6" t="s">
        <v>308</v>
      </c>
      <c r="D267" s="6" t="s">
        <v>39</v>
      </c>
      <c r="E267" s="18">
        <f t="shared" si="1"/>
        <v>42</v>
      </c>
      <c r="F267" s="19">
        <v>0.07</v>
      </c>
      <c r="G267" s="21" t="s">
        <v>45</v>
      </c>
      <c r="H267" s="26"/>
      <c r="I267" s="24">
        <f t="shared" si="2"/>
        <v>3</v>
      </c>
      <c r="J267" s="25">
        <f t="shared" si="3"/>
        <v>3</v>
      </c>
    </row>
    <row r="268">
      <c r="A268" s="16">
        <v>6908.0</v>
      </c>
      <c r="B268" s="6" t="s">
        <v>296</v>
      </c>
      <c r="C268" s="6" t="s">
        <v>309</v>
      </c>
      <c r="D268" s="6" t="s">
        <v>35</v>
      </c>
      <c r="E268" s="18">
        <f t="shared" si="1"/>
        <v>42</v>
      </c>
      <c r="F268" s="19">
        <v>0.07</v>
      </c>
      <c r="G268" s="21" t="s">
        <v>45</v>
      </c>
      <c r="H268" s="22" t="s">
        <v>33</v>
      </c>
      <c r="I268" s="24">
        <f t="shared" si="2"/>
        <v>3</v>
      </c>
      <c r="J268" s="25">
        <f t="shared" si="3"/>
        <v>3</v>
      </c>
    </row>
    <row r="269">
      <c r="A269" s="16">
        <v>1870.0</v>
      </c>
      <c r="B269" s="6" t="s">
        <v>296</v>
      </c>
      <c r="C269" s="6" t="s">
        <v>310</v>
      </c>
      <c r="D269" s="6" t="s">
        <v>19</v>
      </c>
      <c r="E269" s="18">
        <f t="shared" si="1"/>
        <v>36</v>
      </c>
      <c r="F269" s="19">
        <v>0.06</v>
      </c>
      <c r="G269" s="21" t="s">
        <v>145</v>
      </c>
      <c r="H269" s="26"/>
      <c r="I269" s="24">
        <f t="shared" si="2"/>
        <v>4</v>
      </c>
      <c r="J269" s="25">
        <f t="shared" si="3"/>
        <v>3</v>
      </c>
    </row>
    <row r="270">
      <c r="A270" s="16">
        <v>632.0</v>
      </c>
      <c r="B270" s="6" t="s">
        <v>296</v>
      </c>
      <c r="C270" s="6" t="s">
        <v>311</v>
      </c>
      <c r="D270" s="6" t="s">
        <v>31</v>
      </c>
      <c r="E270" s="18">
        <f t="shared" si="1"/>
        <v>36</v>
      </c>
      <c r="F270" s="19">
        <v>0.06</v>
      </c>
      <c r="G270" s="21" t="s">
        <v>145</v>
      </c>
      <c r="H270" s="26"/>
      <c r="I270" s="24">
        <f t="shared" si="2"/>
        <v>4</v>
      </c>
      <c r="J270" s="25">
        <f t="shared" si="3"/>
        <v>3</v>
      </c>
    </row>
    <row r="271">
      <c r="A271" s="16">
        <v>6884.0</v>
      </c>
      <c r="B271" s="6" t="s">
        <v>296</v>
      </c>
      <c r="C271" s="6" t="s">
        <v>312</v>
      </c>
      <c r="D271" s="6" t="s">
        <v>21</v>
      </c>
      <c r="E271" s="18">
        <f t="shared" si="1"/>
        <v>33</v>
      </c>
      <c r="F271" s="19">
        <v>0.055</v>
      </c>
      <c r="G271" s="21" t="s">
        <v>45</v>
      </c>
      <c r="H271" s="22"/>
      <c r="I271" s="24">
        <f t="shared" si="2"/>
        <v>3</v>
      </c>
      <c r="J271" s="25">
        <f t="shared" si="3"/>
        <v>3</v>
      </c>
    </row>
    <row r="272">
      <c r="A272" s="16">
        <v>5687.0</v>
      </c>
      <c r="B272" s="6" t="s">
        <v>296</v>
      </c>
      <c r="C272" s="6" t="s">
        <v>313</v>
      </c>
      <c r="D272" s="6" t="s">
        <v>56</v>
      </c>
      <c r="E272" s="18">
        <f t="shared" si="1"/>
        <v>30</v>
      </c>
      <c r="F272" s="19">
        <v>0.05</v>
      </c>
      <c r="G272" s="21" t="s">
        <v>145</v>
      </c>
      <c r="H272" s="26"/>
      <c r="I272" s="24">
        <f t="shared" si="2"/>
        <v>4</v>
      </c>
      <c r="J272" s="25">
        <f t="shared" si="3"/>
        <v>3</v>
      </c>
    </row>
    <row r="273">
      <c r="A273" s="16">
        <v>152.0</v>
      </c>
      <c r="B273" s="6" t="s">
        <v>296</v>
      </c>
      <c r="C273" s="6" t="s">
        <v>314</v>
      </c>
      <c r="D273" s="6" t="s">
        <v>19</v>
      </c>
      <c r="E273" s="18">
        <f t="shared" si="1"/>
        <v>30</v>
      </c>
      <c r="F273" s="19">
        <v>0.05</v>
      </c>
      <c r="G273" s="21" t="s">
        <v>145</v>
      </c>
      <c r="H273" s="26"/>
      <c r="I273" s="24">
        <f t="shared" si="2"/>
        <v>4</v>
      </c>
      <c r="J273" s="25">
        <f t="shared" si="3"/>
        <v>3</v>
      </c>
    </row>
    <row r="274">
      <c r="A274" s="16">
        <v>7436.0</v>
      </c>
      <c r="B274" s="6" t="s">
        <v>296</v>
      </c>
      <c r="C274" s="6" t="s">
        <v>315</v>
      </c>
      <c r="D274" s="6" t="s">
        <v>21</v>
      </c>
      <c r="E274" s="18">
        <f t="shared" si="1"/>
        <v>30</v>
      </c>
      <c r="F274" s="19">
        <v>0.05</v>
      </c>
      <c r="G274" s="21" t="s">
        <v>145</v>
      </c>
      <c r="H274" s="26"/>
      <c r="I274" s="24">
        <f t="shared" si="2"/>
        <v>4</v>
      </c>
      <c r="J274" s="25">
        <f t="shared" si="3"/>
        <v>3</v>
      </c>
    </row>
    <row r="275">
      <c r="A275" s="16">
        <v>7078.0</v>
      </c>
      <c r="B275" s="6" t="s">
        <v>296</v>
      </c>
      <c r="C275" s="6" t="s">
        <v>316</v>
      </c>
      <c r="D275" s="6" t="s">
        <v>35</v>
      </c>
      <c r="E275" s="18">
        <f t="shared" si="1"/>
        <v>30</v>
      </c>
      <c r="F275" s="27">
        <v>0.05</v>
      </c>
      <c r="G275" s="21" t="s">
        <v>145</v>
      </c>
      <c r="H275" s="26"/>
      <c r="I275" s="24">
        <f t="shared" si="2"/>
        <v>4</v>
      </c>
      <c r="J275" s="25">
        <f t="shared" si="3"/>
        <v>3</v>
      </c>
    </row>
    <row r="276">
      <c r="A276" s="16">
        <v>5172.0</v>
      </c>
      <c r="B276" s="6" t="s">
        <v>296</v>
      </c>
      <c r="C276" s="6" t="s">
        <v>317</v>
      </c>
      <c r="D276" s="6" t="s">
        <v>19</v>
      </c>
      <c r="E276" s="18">
        <f t="shared" si="1"/>
        <v>28</v>
      </c>
      <c r="F276" s="27">
        <v>0.047</v>
      </c>
      <c r="G276" s="11"/>
      <c r="H276" s="26"/>
      <c r="I276" s="24">
        <f t="shared" si="2"/>
        <v>8</v>
      </c>
      <c r="J276" s="25">
        <f t="shared" si="3"/>
        <v>3</v>
      </c>
    </row>
    <row r="277">
      <c r="A277" s="16">
        <v>1850.0</v>
      </c>
      <c r="B277" s="6" t="s">
        <v>296</v>
      </c>
      <c r="C277" s="6" t="s">
        <v>318</v>
      </c>
      <c r="D277" s="6" t="s">
        <v>25</v>
      </c>
      <c r="E277" s="18">
        <f t="shared" si="1"/>
        <v>18</v>
      </c>
      <c r="F277" s="19">
        <v>0.03</v>
      </c>
      <c r="G277" s="21" t="s">
        <v>132</v>
      </c>
      <c r="H277" s="26"/>
      <c r="I277" s="24">
        <f t="shared" si="2"/>
        <v>6</v>
      </c>
      <c r="J277" s="25">
        <f t="shared" si="3"/>
        <v>3</v>
      </c>
    </row>
    <row r="278">
      <c r="A278" s="16">
        <v>2606.0</v>
      </c>
      <c r="B278" s="6" t="s">
        <v>296</v>
      </c>
      <c r="C278" s="6" t="s">
        <v>319</v>
      </c>
      <c r="D278" s="6" t="s">
        <v>23</v>
      </c>
      <c r="E278" s="18">
        <f t="shared" si="1"/>
        <v>18</v>
      </c>
      <c r="F278" s="19">
        <v>0.03</v>
      </c>
      <c r="G278" s="21" t="s">
        <v>132</v>
      </c>
      <c r="H278" s="26"/>
      <c r="I278" s="24">
        <f t="shared" si="2"/>
        <v>6</v>
      </c>
      <c r="J278" s="25">
        <f t="shared" si="3"/>
        <v>3</v>
      </c>
    </row>
    <row r="279">
      <c r="A279" s="16">
        <v>4179.0</v>
      </c>
      <c r="B279" s="6" t="s">
        <v>296</v>
      </c>
      <c r="C279" s="6" t="s">
        <v>320</v>
      </c>
      <c r="D279" s="6" t="s">
        <v>21</v>
      </c>
      <c r="E279" s="18">
        <f t="shared" si="1"/>
        <v>24</v>
      </c>
      <c r="F279" s="19">
        <v>0.04</v>
      </c>
      <c r="G279" s="21" t="s">
        <v>126</v>
      </c>
      <c r="H279" s="22" t="s">
        <v>33</v>
      </c>
      <c r="I279" s="24">
        <f t="shared" si="2"/>
        <v>5</v>
      </c>
      <c r="J279" s="25">
        <f t="shared" si="3"/>
        <v>3</v>
      </c>
    </row>
    <row r="280">
      <c r="A280" s="16">
        <v>4220.0</v>
      </c>
      <c r="B280" s="6" t="s">
        <v>296</v>
      </c>
      <c r="C280" s="6" t="s">
        <v>321</v>
      </c>
      <c r="D280" s="6" t="s">
        <v>27</v>
      </c>
      <c r="E280" s="18">
        <f t="shared" si="1"/>
        <v>12</v>
      </c>
      <c r="F280" s="19">
        <v>0.02</v>
      </c>
      <c r="G280" s="21" t="s">
        <v>132</v>
      </c>
      <c r="H280" s="26"/>
      <c r="I280" s="24">
        <f t="shared" si="2"/>
        <v>6</v>
      </c>
      <c r="J280" s="25">
        <f t="shared" si="3"/>
        <v>3</v>
      </c>
    </row>
    <row r="281">
      <c r="A281" s="16">
        <v>5589.0</v>
      </c>
      <c r="B281" s="6" t="s">
        <v>296</v>
      </c>
      <c r="C281" s="6" t="s">
        <v>322</v>
      </c>
      <c r="D281" s="6" t="s">
        <v>16</v>
      </c>
      <c r="E281" s="18">
        <f t="shared" si="1"/>
        <v>18</v>
      </c>
      <c r="F281" s="19">
        <v>0.03</v>
      </c>
      <c r="G281" s="21" t="s">
        <v>132</v>
      </c>
      <c r="H281" s="26"/>
      <c r="I281" s="24">
        <f t="shared" si="2"/>
        <v>6</v>
      </c>
      <c r="J281" s="25">
        <f t="shared" si="3"/>
        <v>3</v>
      </c>
    </row>
    <row r="282">
      <c r="A282" s="16">
        <v>4973.0</v>
      </c>
      <c r="B282" s="6" t="s">
        <v>296</v>
      </c>
      <c r="C282" s="6" t="s">
        <v>323</v>
      </c>
      <c r="D282" s="6" t="s">
        <v>21</v>
      </c>
      <c r="E282" s="18">
        <f t="shared" si="1"/>
        <v>24</v>
      </c>
      <c r="F282" s="19">
        <v>0.04</v>
      </c>
      <c r="G282" s="21" t="s">
        <v>145</v>
      </c>
      <c r="H282" s="26"/>
      <c r="I282" s="24">
        <f t="shared" si="2"/>
        <v>4</v>
      </c>
      <c r="J282" s="25">
        <f t="shared" si="3"/>
        <v>3</v>
      </c>
    </row>
    <row r="283">
      <c r="A283" s="16">
        <v>7314.0</v>
      </c>
      <c r="B283" s="6" t="s">
        <v>296</v>
      </c>
      <c r="C283" s="6" t="s">
        <v>324</v>
      </c>
      <c r="D283" s="6" t="s">
        <v>31</v>
      </c>
      <c r="E283" s="18">
        <f t="shared" si="1"/>
        <v>24</v>
      </c>
      <c r="F283" s="19">
        <v>0.04</v>
      </c>
      <c r="G283" s="21" t="s">
        <v>45</v>
      </c>
      <c r="H283" s="26"/>
      <c r="I283" s="24">
        <f t="shared" si="2"/>
        <v>3</v>
      </c>
      <c r="J283" s="25">
        <f t="shared" si="3"/>
        <v>3</v>
      </c>
    </row>
    <row r="284">
      <c r="A284" s="16">
        <v>5792.0</v>
      </c>
      <c r="B284" s="6" t="s">
        <v>296</v>
      </c>
      <c r="C284" s="6" t="s">
        <v>325</v>
      </c>
      <c r="D284" s="6" t="s">
        <v>25</v>
      </c>
      <c r="E284" s="18">
        <f t="shared" si="1"/>
        <v>24</v>
      </c>
      <c r="F284" s="19">
        <v>0.04</v>
      </c>
      <c r="G284" s="21" t="s">
        <v>145</v>
      </c>
      <c r="H284" s="26"/>
      <c r="I284" s="24">
        <f t="shared" si="2"/>
        <v>4</v>
      </c>
      <c r="J284" s="25">
        <f t="shared" si="3"/>
        <v>3</v>
      </c>
    </row>
    <row r="285">
      <c r="A285" s="16">
        <v>5800.0</v>
      </c>
      <c r="B285" s="6" t="s">
        <v>296</v>
      </c>
      <c r="C285" s="6" t="s">
        <v>326</v>
      </c>
      <c r="D285" s="6" t="s">
        <v>31</v>
      </c>
      <c r="E285" s="18">
        <f t="shared" si="1"/>
        <v>24</v>
      </c>
      <c r="F285" s="27">
        <v>0.04</v>
      </c>
      <c r="G285" s="21" t="s">
        <v>145</v>
      </c>
      <c r="H285" s="26"/>
      <c r="I285" s="24">
        <f t="shared" si="2"/>
        <v>4</v>
      </c>
      <c r="J285" s="25">
        <f t="shared" si="3"/>
        <v>3</v>
      </c>
    </row>
    <row r="286">
      <c r="A286" s="16">
        <v>6684.0</v>
      </c>
      <c r="B286" s="6" t="s">
        <v>296</v>
      </c>
      <c r="C286" s="6" t="s">
        <v>327</v>
      </c>
      <c r="D286" s="6" t="s">
        <v>39</v>
      </c>
      <c r="E286" s="18">
        <f t="shared" si="1"/>
        <v>24</v>
      </c>
      <c r="F286" s="19">
        <v>0.04</v>
      </c>
      <c r="G286" s="21" t="s">
        <v>145</v>
      </c>
      <c r="H286" s="22" t="s">
        <v>33</v>
      </c>
      <c r="I286" s="24">
        <f t="shared" si="2"/>
        <v>4</v>
      </c>
      <c r="J286" s="25">
        <f t="shared" si="3"/>
        <v>3</v>
      </c>
    </row>
    <row r="287">
      <c r="A287" s="16">
        <v>6844.0</v>
      </c>
      <c r="B287" s="6" t="s">
        <v>296</v>
      </c>
      <c r="C287" s="6" t="s">
        <v>328</v>
      </c>
      <c r="D287" s="6" t="s">
        <v>25</v>
      </c>
      <c r="E287" s="18">
        <f t="shared" si="1"/>
        <v>24</v>
      </c>
      <c r="F287" s="27">
        <v>0.04</v>
      </c>
      <c r="G287" s="21" t="s">
        <v>145</v>
      </c>
      <c r="H287" s="26"/>
      <c r="I287" s="24">
        <f t="shared" si="2"/>
        <v>4</v>
      </c>
      <c r="J287" s="25">
        <f t="shared" si="3"/>
        <v>3</v>
      </c>
    </row>
    <row r="288">
      <c r="A288" s="16">
        <v>6274.0</v>
      </c>
      <c r="B288" s="6" t="s">
        <v>296</v>
      </c>
      <c r="C288" s="6" t="s">
        <v>329</v>
      </c>
      <c r="D288" s="6" t="s">
        <v>19</v>
      </c>
      <c r="E288" s="18">
        <f t="shared" si="1"/>
        <v>24</v>
      </c>
      <c r="F288" s="19">
        <v>0.04</v>
      </c>
      <c r="G288" s="21" t="s">
        <v>145</v>
      </c>
      <c r="H288" s="26"/>
      <c r="I288" s="24">
        <f t="shared" si="2"/>
        <v>4</v>
      </c>
      <c r="J288" s="25">
        <f t="shared" si="3"/>
        <v>3</v>
      </c>
    </row>
    <row r="289">
      <c r="A289" s="16">
        <v>5844.0</v>
      </c>
      <c r="B289" s="6" t="s">
        <v>296</v>
      </c>
      <c r="C289" s="6" t="s">
        <v>330</v>
      </c>
      <c r="D289" s="6" t="s">
        <v>59</v>
      </c>
      <c r="E289" s="18">
        <f t="shared" si="1"/>
        <v>23</v>
      </c>
      <c r="F289" s="27">
        <v>0.039</v>
      </c>
      <c r="G289" s="11"/>
      <c r="H289" s="26"/>
      <c r="I289" s="24">
        <f t="shared" si="2"/>
        <v>8</v>
      </c>
      <c r="J289" s="25">
        <f t="shared" si="3"/>
        <v>3</v>
      </c>
    </row>
    <row r="290">
      <c r="A290" s="16">
        <v>536.0</v>
      </c>
      <c r="B290" s="6" t="s">
        <v>296</v>
      </c>
      <c r="C290" s="6" t="s">
        <v>331</v>
      </c>
      <c r="D290" s="6" t="s">
        <v>27</v>
      </c>
      <c r="E290" s="18">
        <f t="shared" si="1"/>
        <v>22</v>
      </c>
      <c r="F290" s="27">
        <v>0.037</v>
      </c>
      <c r="G290" s="11"/>
      <c r="H290" s="26"/>
      <c r="I290" s="24">
        <f t="shared" si="2"/>
        <v>8</v>
      </c>
      <c r="J290" s="25">
        <f t="shared" si="3"/>
        <v>3</v>
      </c>
    </row>
    <row r="291">
      <c r="A291" s="16">
        <v>5119.0</v>
      </c>
      <c r="B291" s="6" t="s">
        <v>296</v>
      </c>
      <c r="C291" s="6" t="s">
        <v>332</v>
      </c>
      <c r="D291" s="6" t="s">
        <v>25</v>
      </c>
      <c r="E291" s="18">
        <f t="shared" si="1"/>
        <v>21</v>
      </c>
      <c r="F291" s="19">
        <v>0.035</v>
      </c>
      <c r="G291" s="21" t="s">
        <v>145</v>
      </c>
      <c r="H291" s="26"/>
      <c r="I291" s="24">
        <f t="shared" si="2"/>
        <v>4</v>
      </c>
      <c r="J291" s="25">
        <f t="shared" si="3"/>
        <v>3</v>
      </c>
    </row>
    <row r="292">
      <c r="A292" s="16">
        <v>7625.0</v>
      </c>
      <c r="B292" s="6" t="s">
        <v>296</v>
      </c>
      <c r="C292" s="6" t="s">
        <v>333</v>
      </c>
      <c r="D292" s="6" t="s">
        <v>35</v>
      </c>
      <c r="E292" s="18">
        <f t="shared" si="1"/>
        <v>21</v>
      </c>
      <c r="F292" s="19">
        <v>0.035</v>
      </c>
      <c r="G292" s="21" t="s">
        <v>145</v>
      </c>
      <c r="H292" s="22" t="s">
        <v>33</v>
      </c>
      <c r="I292" s="24">
        <f t="shared" si="2"/>
        <v>4</v>
      </c>
      <c r="J292" s="25">
        <f t="shared" si="3"/>
        <v>3</v>
      </c>
    </row>
    <row r="293">
      <c r="A293" s="16">
        <v>4892.0</v>
      </c>
      <c r="B293" s="6" t="s">
        <v>296</v>
      </c>
      <c r="C293" s="6" t="s">
        <v>334</v>
      </c>
      <c r="D293" s="6" t="s">
        <v>23</v>
      </c>
      <c r="E293" s="18">
        <f t="shared" si="1"/>
        <v>12</v>
      </c>
      <c r="F293" s="19">
        <v>0.02</v>
      </c>
      <c r="G293" s="21" t="s">
        <v>132</v>
      </c>
      <c r="H293" s="26"/>
      <c r="I293" s="24">
        <f t="shared" si="2"/>
        <v>6</v>
      </c>
      <c r="J293" s="25">
        <f t="shared" si="3"/>
        <v>3</v>
      </c>
    </row>
    <row r="294">
      <c r="A294" s="16">
        <v>6372.0</v>
      </c>
      <c r="B294" s="6" t="s">
        <v>296</v>
      </c>
      <c r="C294" s="6" t="s">
        <v>335</v>
      </c>
      <c r="D294" s="6" t="s">
        <v>23</v>
      </c>
      <c r="E294" s="18">
        <f t="shared" si="1"/>
        <v>21</v>
      </c>
      <c r="F294" s="19">
        <v>0.035</v>
      </c>
      <c r="G294" s="21" t="s">
        <v>145</v>
      </c>
      <c r="H294" s="26"/>
      <c r="I294" s="24">
        <f t="shared" si="2"/>
        <v>4</v>
      </c>
      <c r="J294" s="25">
        <f t="shared" si="3"/>
        <v>3</v>
      </c>
    </row>
    <row r="295">
      <c r="A295" s="16">
        <v>7223.0</v>
      </c>
      <c r="B295" s="6" t="s">
        <v>296</v>
      </c>
      <c r="C295" s="6" t="s">
        <v>336</v>
      </c>
      <c r="D295" s="6" t="s">
        <v>27</v>
      </c>
      <c r="E295" s="18">
        <f t="shared" si="1"/>
        <v>15</v>
      </c>
      <c r="F295" s="19">
        <v>0.025</v>
      </c>
      <c r="G295" s="21" t="s">
        <v>132</v>
      </c>
      <c r="H295" s="26"/>
      <c r="I295" s="24">
        <f t="shared" si="2"/>
        <v>6</v>
      </c>
      <c r="J295" s="25">
        <f t="shared" si="3"/>
        <v>3</v>
      </c>
    </row>
    <row r="296">
      <c r="A296" s="16">
        <v>6151.0</v>
      </c>
      <c r="B296" s="6" t="s">
        <v>296</v>
      </c>
      <c r="C296" s="6" t="s">
        <v>337</v>
      </c>
      <c r="D296" s="6" t="s">
        <v>29</v>
      </c>
      <c r="E296" s="18">
        <f t="shared" si="1"/>
        <v>20</v>
      </c>
      <c r="F296" s="27">
        <v>0.034</v>
      </c>
      <c r="G296" s="11"/>
      <c r="H296" s="26"/>
      <c r="I296" s="24">
        <f t="shared" si="2"/>
        <v>8</v>
      </c>
      <c r="J296" s="25">
        <f t="shared" si="3"/>
        <v>3</v>
      </c>
    </row>
    <row r="297">
      <c r="A297" s="16">
        <v>827.0</v>
      </c>
      <c r="B297" s="6" t="s">
        <v>296</v>
      </c>
      <c r="C297" s="6" t="s">
        <v>338</v>
      </c>
      <c r="D297" s="6" t="s">
        <v>21</v>
      </c>
      <c r="E297" s="18">
        <f t="shared" si="1"/>
        <v>6</v>
      </c>
      <c r="F297" s="19">
        <v>0.01</v>
      </c>
      <c r="G297" s="21" t="s">
        <v>132</v>
      </c>
      <c r="H297" s="26"/>
      <c r="I297" s="24">
        <f t="shared" si="2"/>
        <v>6</v>
      </c>
      <c r="J297" s="25">
        <f t="shared" si="3"/>
        <v>3</v>
      </c>
    </row>
    <row r="298">
      <c r="A298" s="16">
        <v>6666.0</v>
      </c>
      <c r="B298" s="6" t="s">
        <v>296</v>
      </c>
      <c r="C298" s="6" t="s">
        <v>339</v>
      </c>
      <c r="D298" s="6" t="s">
        <v>50</v>
      </c>
      <c r="E298" s="18">
        <f t="shared" si="1"/>
        <v>20</v>
      </c>
      <c r="F298" s="27">
        <v>0.034</v>
      </c>
      <c r="G298" s="11"/>
      <c r="H298" s="26"/>
      <c r="I298" s="24">
        <f t="shared" si="2"/>
        <v>8</v>
      </c>
      <c r="J298" s="25">
        <f t="shared" si="3"/>
        <v>3</v>
      </c>
    </row>
    <row r="299">
      <c r="A299" s="16">
        <v>7129.0</v>
      </c>
      <c r="B299" s="6" t="s">
        <v>296</v>
      </c>
      <c r="C299" s="6" t="s">
        <v>340</v>
      </c>
      <c r="D299" s="6" t="s">
        <v>29</v>
      </c>
      <c r="E299" s="18">
        <f t="shared" si="1"/>
        <v>12</v>
      </c>
      <c r="F299" s="19">
        <v>0.02</v>
      </c>
      <c r="G299" s="21" t="s">
        <v>132</v>
      </c>
      <c r="H299" s="26"/>
      <c r="I299" s="24">
        <f t="shared" si="2"/>
        <v>6</v>
      </c>
      <c r="J299" s="25">
        <f t="shared" si="3"/>
        <v>3</v>
      </c>
    </row>
    <row r="300">
      <c r="A300" s="16">
        <v>4364.0</v>
      </c>
      <c r="B300" s="6" t="s">
        <v>296</v>
      </c>
      <c r="C300" s="6" t="s">
        <v>341</v>
      </c>
      <c r="D300" s="6" t="s">
        <v>25</v>
      </c>
      <c r="E300" s="18">
        <f t="shared" si="1"/>
        <v>18</v>
      </c>
      <c r="F300" s="27">
        <v>0.03</v>
      </c>
      <c r="G300" s="11"/>
      <c r="H300" s="26"/>
      <c r="I300" s="24">
        <f t="shared" si="2"/>
        <v>8</v>
      </c>
      <c r="J300" s="25">
        <f t="shared" si="3"/>
        <v>3</v>
      </c>
    </row>
    <row r="301">
      <c r="A301" s="16">
        <v>7412.0</v>
      </c>
      <c r="B301" s="6" t="s">
        <v>296</v>
      </c>
      <c r="C301" s="6" t="s">
        <v>342</v>
      </c>
      <c r="D301" s="6" t="s">
        <v>29</v>
      </c>
      <c r="E301" s="18">
        <f t="shared" si="1"/>
        <v>18</v>
      </c>
      <c r="F301" s="27">
        <v>0.03</v>
      </c>
      <c r="G301" s="11"/>
      <c r="H301" s="26"/>
      <c r="I301" s="24">
        <f t="shared" si="2"/>
        <v>8</v>
      </c>
      <c r="J301" s="25">
        <f t="shared" si="3"/>
        <v>3</v>
      </c>
    </row>
    <row r="302">
      <c r="A302" s="16">
        <v>5823.0</v>
      </c>
      <c r="B302" s="6" t="s">
        <v>296</v>
      </c>
      <c r="C302" s="6" t="s">
        <v>343</v>
      </c>
      <c r="D302" s="6" t="s">
        <v>47</v>
      </c>
      <c r="E302" s="18">
        <f t="shared" si="1"/>
        <v>17</v>
      </c>
      <c r="F302" s="27">
        <v>0.028</v>
      </c>
      <c r="G302" s="11"/>
      <c r="H302" s="26"/>
      <c r="I302" s="24">
        <f t="shared" si="2"/>
        <v>8</v>
      </c>
      <c r="J302" s="25">
        <f t="shared" si="3"/>
        <v>3</v>
      </c>
    </row>
    <row r="303">
      <c r="A303" s="16">
        <v>779.0</v>
      </c>
      <c r="B303" s="6" t="s">
        <v>296</v>
      </c>
      <c r="C303" s="6" t="s">
        <v>344</v>
      </c>
      <c r="D303" s="6" t="s">
        <v>16</v>
      </c>
      <c r="E303" s="18">
        <f t="shared" si="1"/>
        <v>17</v>
      </c>
      <c r="F303" s="27">
        <v>0.029</v>
      </c>
      <c r="G303" s="11"/>
      <c r="H303" s="26"/>
      <c r="I303" s="24">
        <f t="shared" si="2"/>
        <v>8</v>
      </c>
      <c r="J303" s="25">
        <f t="shared" si="3"/>
        <v>3</v>
      </c>
    </row>
    <row r="304">
      <c r="A304" s="16">
        <v>6827.0</v>
      </c>
      <c r="B304" s="6" t="s">
        <v>296</v>
      </c>
      <c r="C304" s="6" t="s">
        <v>345</v>
      </c>
      <c r="D304" s="6" t="s">
        <v>35</v>
      </c>
      <c r="E304" s="18">
        <f t="shared" si="1"/>
        <v>17</v>
      </c>
      <c r="F304" s="27">
        <v>0.028</v>
      </c>
      <c r="G304" s="11"/>
      <c r="H304" s="26"/>
      <c r="I304" s="24">
        <f t="shared" si="2"/>
        <v>8</v>
      </c>
      <c r="J304" s="25">
        <f t="shared" si="3"/>
        <v>3</v>
      </c>
    </row>
    <row r="305">
      <c r="A305" s="16">
        <v>5888.0</v>
      </c>
      <c r="B305" s="6" t="s">
        <v>296</v>
      </c>
      <c r="C305" s="6" t="s">
        <v>346</v>
      </c>
      <c r="D305" s="6" t="s">
        <v>56</v>
      </c>
      <c r="E305" s="18">
        <f t="shared" si="1"/>
        <v>16</v>
      </c>
      <c r="F305" s="27">
        <v>0.027</v>
      </c>
      <c r="G305" s="11"/>
      <c r="H305" s="26"/>
      <c r="I305" s="24">
        <f t="shared" si="2"/>
        <v>8</v>
      </c>
      <c r="J305" s="25">
        <f t="shared" si="3"/>
        <v>3</v>
      </c>
    </row>
    <row r="306">
      <c r="A306" s="16">
        <v>7472.0</v>
      </c>
      <c r="B306" s="6" t="s">
        <v>296</v>
      </c>
      <c r="C306" s="6" t="s">
        <v>347</v>
      </c>
      <c r="D306" s="6" t="s">
        <v>63</v>
      </c>
      <c r="E306" s="18">
        <f t="shared" si="1"/>
        <v>16</v>
      </c>
      <c r="F306" s="27">
        <v>0.027</v>
      </c>
      <c r="G306" s="11"/>
      <c r="H306" s="26"/>
      <c r="I306" s="24">
        <f t="shared" si="2"/>
        <v>8</v>
      </c>
      <c r="J306" s="25">
        <f t="shared" si="3"/>
        <v>3</v>
      </c>
    </row>
    <row r="307">
      <c r="A307" s="16">
        <v>5562.0</v>
      </c>
      <c r="B307" s="6" t="s">
        <v>296</v>
      </c>
      <c r="C307" s="6" t="s">
        <v>348</v>
      </c>
      <c r="D307" s="6" t="s">
        <v>21</v>
      </c>
      <c r="E307" s="18">
        <f t="shared" si="1"/>
        <v>6</v>
      </c>
      <c r="F307" s="19">
        <v>0.01</v>
      </c>
      <c r="G307" s="21" t="s">
        <v>132</v>
      </c>
      <c r="H307" s="26"/>
      <c r="I307" s="24">
        <f t="shared" si="2"/>
        <v>6</v>
      </c>
      <c r="J307" s="25">
        <f t="shared" si="3"/>
        <v>3</v>
      </c>
    </row>
    <row r="308">
      <c r="A308" s="16">
        <v>5500.0</v>
      </c>
      <c r="B308" s="6" t="s">
        <v>296</v>
      </c>
      <c r="C308" s="6" t="s">
        <v>349</v>
      </c>
      <c r="D308" s="6" t="s">
        <v>31</v>
      </c>
      <c r="E308" s="18">
        <f t="shared" si="1"/>
        <v>1</v>
      </c>
      <c r="F308" s="19">
        <v>0.002</v>
      </c>
      <c r="G308" s="21" t="s">
        <v>126</v>
      </c>
      <c r="H308" s="26"/>
      <c r="I308" s="24">
        <f t="shared" si="2"/>
        <v>5</v>
      </c>
      <c r="J308" s="25">
        <f t="shared" si="3"/>
        <v>3</v>
      </c>
    </row>
    <row r="309">
      <c r="A309" s="16">
        <v>5735.0</v>
      </c>
      <c r="B309" s="6" t="s">
        <v>296</v>
      </c>
      <c r="C309" s="6" t="s">
        <v>350</v>
      </c>
      <c r="D309" s="6" t="s">
        <v>59</v>
      </c>
      <c r="E309" s="18">
        <f t="shared" si="1"/>
        <v>15</v>
      </c>
      <c r="F309" s="27">
        <v>0.025</v>
      </c>
      <c r="G309" s="11"/>
      <c r="H309" s="26"/>
      <c r="I309" s="24">
        <f t="shared" si="2"/>
        <v>8</v>
      </c>
      <c r="J309" s="25">
        <f t="shared" si="3"/>
        <v>3</v>
      </c>
    </row>
    <row r="310">
      <c r="A310" s="16">
        <v>7551.0</v>
      </c>
      <c r="B310" s="6" t="s">
        <v>296</v>
      </c>
      <c r="C310" s="6" t="s">
        <v>351</v>
      </c>
      <c r="D310" s="6" t="s">
        <v>63</v>
      </c>
      <c r="E310" s="18">
        <f t="shared" si="1"/>
        <v>15</v>
      </c>
      <c r="F310" s="27">
        <v>0.025</v>
      </c>
      <c r="G310" s="11"/>
      <c r="H310" s="26"/>
      <c r="I310" s="24">
        <f t="shared" si="2"/>
        <v>8</v>
      </c>
      <c r="J310" s="25">
        <f t="shared" si="3"/>
        <v>3</v>
      </c>
    </row>
    <row r="311">
      <c r="A311" s="16">
        <v>7618.0</v>
      </c>
      <c r="B311" s="6" t="s">
        <v>296</v>
      </c>
      <c r="C311" s="6" t="s">
        <v>352</v>
      </c>
      <c r="D311" s="6" t="s">
        <v>23</v>
      </c>
      <c r="E311" s="18">
        <f t="shared" si="1"/>
        <v>15</v>
      </c>
      <c r="F311" s="27">
        <v>0.025</v>
      </c>
      <c r="G311" s="11"/>
      <c r="H311" s="26"/>
      <c r="I311" s="24">
        <f t="shared" si="2"/>
        <v>8</v>
      </c>
      <c r="J311" s="25">
        <f t="shared" si="3"/>
        <v>3</v>
      </c>
    </row>
    <row r="312">
      <c r="A312" s="16">
        <v>5680.0</v>
      </c>
      <c r="B312" s="6" t="s">
        <v>296</v>
      </c>
      <c r="C312" s="6" t="s">
        <v>353</v>
      </c>
      <c r="D312" s="6" t="s">
        <v>21</v>
      </c>
      <c r="E312" s="18">
        <f t="shared" si="1"/>
        <v>15</v>
      </c>
      <c r="F312" s="27">
        <v>0.025</v>
      </c>
      <c r="G312" s="11"/>
      <c r="H312" s="26"/>
      <c r="I312" s="24">
        <f t="shared" si="2"/>
        <v>8</v>
      </c>
      <c r="J312" s="25">
        <f t="shared" si="3"/>
        <v>3</v>
      </c>
    </row>
    <row r="313">
      <c r="A313" s="16">
        <v>795.0</v>
      </c>
      <c r="B313" s="6" t="s">
        <v>296</v>
      </c>
      <c r="C313" s="6" t="s">
        <v>354</v>
      </c>
      <c r="D313" s="6" t="s">
        <v>47</v>
      </c>
      <c r="E313" s="18">
        <f t="shared" si="1"/>
        <v>15</v>
      </c>
      <c r="F313" s="27">
        <v>0.025</v>
      </c>
      <c r="G313" s="11"/>
      <c r="H313" s="26"/>
      <c r="I313" s="24">
        <f t="shared" si="2"/>
        <v>8</v>
      </c>
      <c r="J313" s="25">
        <f t="shared" si="3"/>
        <v>3</v>
      </c>
    </row>
    <row r="314">
      <c r="A314" s="16">
        <v>1933.0</v>
      </c>
      <c r="B314" s="6" t="s">
        <v>296</v>
      </c>
      <c r="C314" s="6" t="s">
        <v>355</v>
      </c>
      <c r="D314" s="6" t="s">
        <v>56</v>
      </c>
      <c r="E314" s="18">
        <f t="shared" si="1"/>
        <v>12</v>
      </c>
      <c r="F314" s="19">
        <v>0.02</v>
      </c>
      <c r="G314" s="21" t="s">
        <v>132</v>
      </c>
      <c r="H314" s="26"/>
      <c r="I314" s="24">
        <f t="shared" si="2"/>
        <v>6</v>
      </c>
      <c r="J314" s="25">
        <f t="shared" si="3"/>
        <v>3</v>
      </c>
    </row>
    <row r="315">
      <c r="A315" s="16">
        <v>4287.0</v>
      </c>
      <c r="B315" s="6" t="s">
        <v>296</v>
      </c>
      <c r="C315" s="6" t="s">
        <v>356</v>
      </c>
      <c r="D315" s="6" t="s">
        <v>27</v>
      </c>
      <c r="E315" s="18">
        <f t="shared" si="1"/>
        <v>14</v>
      </c>
      <c r="F315" s="27">
        <v>0.023</v>
      </c>
      <c r="G315" s="11"/>
      <c r="H315" s="26"/>
      <c r="I315" s="24">
        <f t="shared" si="2"/>
        <v>8</v>
      </c>
      <c r="J315" s="25">
        <f t="shared" si="3"/>
        <v>3</v>
      </c>
    </row>
    <row r="316">
      <c r="A316" s="16">
        <v>5858.0</v>
      </c>
      <c r="B316" s="6" t="s">
        <v>296</v>
      </c>
      <c r="C316" s="6" t="s">
        <v>357</v>
      </c>
      <c r="D316" s="6" t="s">
        <v>37</v>
      </c>
      <c r="E316" s="18">
        <f t="shared" si="1"/>
        <v>14</v>
      </c>
      <c r="F316" s="27">
        <v>0.023</v>
      </c>
      <c r="G316" s="11"/>
      <c r="H316" s="26"/>
      <c r="I316" s="24">
        <f t="shared" si="2"/>
        <v>8</v>
      </c>
      <c r="J316" s="25">
        <f t="shared" si="3"/>
        <v>3</v>
      </c>
    </row>
    <row r="317">
      <c r="A317" s="16">
        <v>7619.0</v>
      </c>
      <c r="B317" s="6" t="s">
        <v>296</v>
      </c>
      <c r="C317" s="6" t="s">
        <v>358</v>
      </c>
      <c r="D317" s="6" t="s">
        <v>41</v>
      </c>
      <c r="E317" s="18">
        <f t="shared" si="1"/>
        <v>14</v>
      </c>
      <c r="F317" s="27">
        <v>0.023</v>
      </c>
      <c r="G317" s="11"/>
      <c r="H317" s="26"/>
      <c r="I317" s="24">
        <f t="shared" si="2"/>
        <v>8</v>
      </c>
      <c r="J317" s="25">
        <f t="shared" si="3"/>
        <v>3</v>
      </c>
    </row>
    <row r="318">
      <c r="A318" s="16">
        <v>6010.0</v>
      </c>
      <c r="B318" s="6" t="s">
        <v>296</v>
      </c>
      <c r="C318" s="6" t="s">
        <v>359</v>
      </c>
      <c r="D318" s="6" t="s">
        <v>43</v>
      </c>
      <c r="E318" s="18">
        <f t="shared" si="1"/>
        <v>14</v>
      </c>
      <c r="F318" s="27">
        <v>0.023</v>
      </c>
      <c r="G318" s="11"/>
      <c r="H318" s="26"/>
      <c r="I318" s="24">
        <f t="shared" si="2"/>
        <v>8</v>
      </c>
      <c r="J318" s="25">
        <f t="shared" si="3"/>
        <v>3</v>
      </c>
    </row>
    <row r="319">
      <c r="A319" s="16">
        <v>7060.0</v>
      </c>
      <c r="B319" s="6" t="s">
        <v>296</v>
      </c>
      <c r="C319" s="6" t="s">
        <v>360</v>
      </c>
      <c r="D319" s="6" t="s">
        <v>56</v>
      </c>
      <c r="E319" s="18">
        <f t="shared" si="1"/>
        <v>1</v>
      </c>
      <c r="F319" s="19">
        <v>0.002</v>
      </c>
      <c r="G319" s="21" t="s">
        <v>126</v>
      </c>
      <c r="H319" s="26"/>
      <c r="I319" s="24">
        <f t="shared" si="2"/>
        <v>5</v>
      </c>
      <c r="J319" s="25">
        <f t="shared" si="3"/>
        <v>3</v>
      </c>
    </row>
    <row r="320">
      <c r="A320" s="16">
        <v>6618.0</v>
      </c>
      <c r="B320" s="6" t="s">
        <v>296</v>
      </c>
      <c r="C320" s="6" t="s">
        <v>361</v>
      </c>
      <c r="D320" s="6" t="s">
        <v>23</v>
      </c>
      <c r="E320" s="18">
        <f t="shared" si="1"/>
        <v>14</v>
      </c>
      <c r="F320" s="27">
        <v>0.024</v>
      </c>
      <c r="G320" s="11"/>
      <c r="H320" s="26"/>
      <c r="I320" s="24">
        <f t="shared" si="2"/>
        <v>8</v>
      </c>
      <c r="J320" s="25">
        <f t="shared" si="3"/>
        <v>3</v>
      </c>
    </row>
    <row r="321">
      <c r="A321" s="16">
        <v>7070.0</v>
      </c>
      <c r="B321" s="6" t="s">
        <v>296</v>
      </c>
      <c r="C321" s="6" t="s">
        <v>362</v>
      </c>
      <c r="D321" s="6" t="s">
        <v>19</v>
      </c>
      <c r="E321" s="18">
        <f t="shared" si="1"/>
        <v>13</v>
      </c>
      <c r="F321" s="27">
        <v>0.021</v>
      </c>
      <c r="G321" s="11"/>
      <c r="H321" s="26"/>
      <c r="I321" s="24">
        <f t="shared" si="2"/>
        <v>8</v>
      </c>
      <c r="J321" s="25">
        <f t="shared" si="3"/>
        <v>3</v>
      </c>
    </row>
    <row r="322">
      <c r="A322" s="16">
        <v>6398.0</v>
      </c>
      <c r="B322" s="6" t="s">
        <v>296</v>
      </c>
      <c r="C322" s="6" t="s">
        <v>363</v>
      </c>
      <c r="D322" s="6" t="s">
        <v>31</v>
      </c>
      <c r="E322" s="18">
        <f t="shared" si="1"/>
        <v>12</v>
      </c>
      <c r="F322" s="19">
        <v>0.02</v>
      </c>
      <c r="G322" s="21" t="s">
        <v>145</v>
      </c>
      <c r="H322" s="26"/>
      <c r="I322" s="24">
        <f t="shared" si="2"/>
        <v>4</v>
      </c>
      <c r="J322" s="25">
        <f t="shared" si="3"/>
        <v>3</v>
      </c>
    </row>
    <row r="323">
      <c r="A323" s="16">
        <v>2077.0</v>
      </c>
      <c r="B323" s="6" t="s">
        <v>296</v>
      </c>
      <c r="C323" s="6" t="s">
        <v>364</v>
      </c>
      <c r="D323" s="6" t="s">
        <v>25</v>
      </c>
      <c r="E323" s="18">
        <f t="shared" si="1"/>
        <v>9</v>
      </c>
      <c r="F323" s="19">
        <v>0.0155</v>
      </c>
      <c r="G323" s="21" t="s">
        <v>132</v>
      </c>
      <c r="H323" s="26"/>
      <c r="I323" s="24">
        <f t="shared" si="2"/>
        <v>6</v>
      </c>
      <c r="J323" s="25">
        <f t="shared" si="3"/>
        <v>3</v>
      </c>
    </row>
    <row r="324">
      <c r="A324" s="16">
        <v>4856.0</v>
      </c>
      <c r="B324" s="6" t="s">
        <v>296</v>
      </c>
      <c r="C324" s="6" t="s">
        <v>365</v>
      </c>
      <c r="D324" s="6" t="s">
        <v>23</v>
      </c>
      <c r="E324" s="18">
        <f t="shared" si="1"/>
        <v>13</v>
      </c>
      <c r="F324" s="27">
        <v>0.022</v>
      </c>
      <c r="G324" s="11"/>
      <c r="H324" s="26"/>
      <c r="I324" s="24">
        <f t="shared" si="2"/>
        <v>8</v>
      </c>
      <c r="J324" s="25">
        <f t="shared" si="3"/>
        <v>3</v>
      </c>
    </row>
    <row r="325">
      <c r="A325" s="16">
        <v>7311.0</v>
      </c>
      <c r="B325" s="6" t="s">
        <v>296</v>
      </c>
      <c r="C325" s="6" t="s">
        <v>366</v>
      </c>
      <c r="D325" s="6" t="s">
        <v>43</v>
      </c>
      <c r="E325" s="18">
        <f t="shared" si="1"/>
        <v>13</v>
      </c>
      <c r="F325" s="27">
        <v>0.021</v>
      </c>
      <c r="G325" s="11"/>
      <c r="H325" s="26"/>
      <c r="I325" s="24">
        <f t="shared" si="2"/>
        <v>8</v>
      </c>
      <c r="J325" s="25">
        <f t="shared" si="3"/>
        <v>3</v>
      </c>
    </row>
    <row r="326">
      <c r="A326" s="16">
        <v>6294.0</v>
      </c>
      <c r="B326" s="6" t="s">
        <v>296</v>
      </c>
      <c r="C326" s="6" t="s">
        <v>367</v>
      </c>
      <c r="D326" s="6" t="s">
        <v>35</v>
      </c>
      <c r="E326" s="18">
        <f t="shared" si="1"/>
        <v>13</v>
      </c>
      <c r="F326" s="27">
        <v>0.022</v>
      </c>
      <c r="G326" s="11"/>
      <c r="H326" s="26"/>
      <c r="I326" s="24">
        <f t="shared" si="2"/>
        <v>8</v>
      </c>
      <c r="J326" s="25">
        <f t="shared" si="3"/>
        <v>3</v>
      </c>
    </row>
    <row r="327">
      <c r="A327" s="16">
        <v>4479.0</v>
      </c>
      <c r="B327" s="6" t="s">
        <v>296</v>
      </c>
      <c r="C327" s="6" t="s">
        <v>368</v>
      </c>
      <c r="D327" s="6" t="s">
        <v>25</v>
      </c>
      <c r="E327" s="18">
        <f t="shared" si="1"/>
        <v>13</v>
      </c>
      <c r="F327" s="27">
        <v>0.022</v>
      </c>
      <c r="G327" s="11"/>
      <c r="H327" s="26"/>
      <c r="I327" s="24">
        <f t="shared" si="2"/>
        <v>8</v>
      </c>
      <c r="J327" s="25">
        <f t="shared" si="3"/>
        <v>3</v>
      </c>
    </row>
    <row r="328">
      <c r="A328" s="16">
        <v>6678.0</v>
      </c>
      <c r="B328" s="6" t="s">
        <v>296</v>
      </c>
      <c r="C328" s="6" t="s">
        <v>369</v>
      </c>
      <c r="D328" s="6" t="s">
        <v>29</v>
      </c>
      <c r="E328" s="18">
        <f t="shared" si="1"/>
        <v>13</v>
      </c>
      <c r="F328" s="27">
        <v>0.021</v>
      </c>
      <c r="G328" s="11"/>
      <c r="H328" s="26"/>
      <c r="I328" s="24">
        <f t="shared" si="2"/>
        <v>8</v>
      </c>
      <c r="J328" s="25">
        <f t="shared" si="3"/>
        <v>3</v>
      </c>
    </row>
    <row r="329">
      <c r="A329" s="16">
        <v>530.0</v>
      </c>
      <c r="B329" s="6" t="s">
        <v>296</v>
      </c>
      <c r="C329" s="6" t="s">
        <v>370</v>
      </c>
      <c r="D329" s="6" t="s">
        <v>16</v>
      </c>
      <c r="E329" s="18">
        <f t="shared" si="1"/>
        <v>1</v>
      </c>
      <c r="F329" s="19">
        <v>0.001</v>
      </c>
      <c r="G329" s="21" t="s">
        <v>126</v>
      </c>
      <c r="H329" s="26"/>
      <c r="I329" s="24">
        <f t="shared" si="2"/>
        <v>5</v>
      </c>
      <c r="J329" s="25">
        <f t="shared" si="3"/>
        <v>3</v>
      </c>
    </row>
    <row r="330">
      <c r="A330" s="16">
        <v>6717.0</v>
      </c>
      <c r="B330" s="6" t="s">
        <v>296</v>
      </c>
      <c r="C330" s="6" t="s">
        <v>371</v>
      </c>
      <c r="D330" s="6" t="s">
        <v>59</v>
      </c>
      <c r="E330" s="18">
        <f t="shared" si="1"/>
        <v>12</v>
      </c>
      <c r="F330" s="27">
        <v>0.02</v>
      </c>
      <c r="G330" s="11"/>
      <c r="H330" s="26"/>
      <c r="I330" s="24">
        <f t="shared" si="2"/>
        <v>8</v>
      </c>
      <c r="J330" s="25">
        <f t="shared" si="3"/>
        <v>3</v>
      </c>
    </row>
    <row r="331">
      <c r="A331" s="16">
        <v>6833.0</v>
      </c>
      <c r="B331" s="6" t="s">
        <v>296</v>
      </c>
      <c r="C331" s="6" t="s">
        <v>372</v>
      </c>
      <c r="D331" s="6" t="s">
        <v>37</v>
      </c>
      <c r="E331" s="18">
        <f t="shared" si="1"/>
        <v>12</v>
      </c>
      <c r="F331" s="19">
        <v>0.02</v>
      </c>
      <c r="G331" s="21" t="s">
        <v>126</v>
      </c>
      <c r="H331" s="22" t="s">
        <v>33</v>
      </c>
      <c r="I331" s="24">
        <f t="shared" si="2"/>
        <v>5</v>
      </c>
      <c r="J331" s="25">
        <f t="shared" si="3"/>
        <v>3</v>
      </c>
    </row>
    <row r="332">
      <c r="A332" s="16">
        <v>4465.0</v>
      </c>
      <c r="B332" s="6" t="s">
        <v>296</v>
      </c>
      <c r="C332" s="6" t="s">
        <v>373</v>
      </c>
      <c r="D332" s="6" t="s">
        <v>35</v>
      </c>
      <c r="E332" s="18">
        <f t="shared" si="1"/>
        <v>12</v>
      </c>
      <c r="F332" s="27">
        <v>0.02</v>
      </c>
      <c r="G332" s="11"/>
      <c r="H332" s="26"/>
      <c r="I332" s="24">
        <f t="shared" si="2"/>
        <v>8</v>
      </c>
      <c r="J332" s="25">
        <f t="shared" si="3"/>
        <v>3</v>
      </c>
    </row>
    <row r="333">
      <c r="A333" s="16">
        <v>6680.0</v>
      </c>
      <c r="B333" s="6" t="s">
        <v>296</v>
      </c>
      <c r="C333" s="6" t="s">
        <v>374</v>
      </c>
      <c r="D333" s="6" t="s">
        <v>39</v>
      </c>
      <c r="E333" s="18">
        <f t="shared" si="1"/>
        <v>12</v>
      </c>
      <c r="F333" s="27">
        <v>0.02</v>
      </c>
      <c r="G333" s="11"/>
      <c r="H333" s="26"/>
      <c r="I333" s="24">
        <f t="shared" si="2"/>
        <v>8</v>
      </c>
      <c r="J333" s="25">
        <f t="shared" si="3"/>
        <v>3</v>
      </c>
    </row>
    <row r="334">
      <c r="A334" s="16">
        <v>7624.0</v>
      </c>
      <c r="B334" s="6" t="s">
        <v>296</v>
      </c>
      <c r="C334" s="6" t="s">
        <v>375</v>
      </c>
      <c r="D334" s="6" t="s">
        <v>56</v>
      </c>
      <c r="E334" s="18">
        <f t="shared" si="1"/>
        <v>12</v>
      </c>
      <c r="F334" s="27">
        <v>0.02</v>
      </c>
      <c r="G334" s="11"/>
      <c r="H334" s="26"/>
      <c r="I334" s="24">
        <f t="shared" si="2"/>
        <v>8</v>
      </c>
      <c r="J334" s="25">
        <f t="shared" si="3"/>
        <v>3</v>
      </c>
    </row>
    <row r="335">
      <c r="A335" s="16">
        <v>5422.0</v>
      </c>
      <c r="B335" s="6" t="s">
        <v>296</v>
      </c>
      <c r="C335" s="6" t="s">
        <v>376</v>
      </c>
      <c r="D335" s="6" t="s">
        <v>25</v>
      </c>
      <c r="E335" s="18">
        <f t="shared" si="1"/>
        <v>11</v>
      </c>
      <c r="F335" s="27">
        <v>0.018</v>
      </c>
      <c r="G335" s="11"/>
      <c r="H335" s="26"/>
      <c r="I335" s="24">
        <f t="shared" si="2"/>
        <v>8</v>
      </c>
      <c r="J335" s="25">
        <f t="shared" si="3"/>
        <v>3</v>
      </c>
    </row>
    <row r="336">
      <c r="A336" s="16">
        <v>5791.0</v>
      </c>
      <c r="B336" s="6" t="s">
        <v>296</v>
      </c>
      <c r="C336" s="6" t="s">
        <v>377</v>
      </c>
      <c r="D336" s="6" t="s">
        <v>47</v>
      </c>
      <c r="E336" s="18">
        <f t="shared" si="1"/>
        <v>11</v>
      </c>
      <c r="F336" s="27">
        <v>0.019</v>
      </c>
      <c r="G336" s="11"/>
      <c r="H336" s="26"/>
      <c r="I336" s="24">
        <f t="shared" si="2"/>
        <v>8</v>
      </c>
      <c r="J336" s="25">
        <f t="shared" si="3"/>
        <v>3</v>
      </c>
    </row>
    <row r="337">
      <c r="A337" s="16">
        <v>6190.0</v>
      </c>
      <c r="B337" s="6" t="s">
        <v>296</v>
      </c>
      <c r="C337" s="6" t="s">
        <v>378</v>
      </c>
      <c r="D337" s="6" t="s">
        <v>16</v>
      </c>
      <c r="E337" s="18">
        <f t="shared" si="1"/>
        <v>11</v>
      </c>
      <c r="F337" s="27">
        <v>0.019</v>
      </c>
      <c r="G337" s="11"/>
      <c r="H337" s="26"/>
      <c r="I337" s="24">
        <f t="shared" si="2"/>
        <v>8</v>
      </c>
      <c r="J337" s="25">
        <f t="shared" si="3"/>
        <v>3</v>
      </c>
    </row>
    <row r="338">
      <c r="A338" s="16">
        <v>7464.0</v>
      </c>
      <c r="B338" s="6" t="s">
        <v>296</v>
      </c>
      <c r="C338" s="6" t="s">
        <v>379</v>
      </c>
      <c r="D338" s="6" t="s">
        <v>35</v>
      </c>
      <c r="E338" s="18">
        <f t="shared" si="1"/>
        <v>11</v>
      </c>
      <c r="F338" s="27">
        <v>0.018</v>
      </c>
      <c r="G338" s="11"/>
      <c r="H338" s="26"/>
      <c r="I338" s="24">
        <f t="shared" si="2"/>
        <v>8</v>
      </c>
      <c r="J338" s="25">
        <f t="shared" si="3"/>
        <v>3</v>
      </c>
    </row>
    <row r="339">
      <c r="A339" s="16">
        <v>6549.0</v>
      </c>
      <c r="B339" s="6" t="s">
        <v>296</v>
      </c>
      <c r="C339" s="6" t="s">
        <v>380</v>
      </c>
      <c r="D339" s="6" t="s">
        <v>41</v>
      </c>
      <c r="E339" s="18">
        <f t="shared" si="1"/>
        <v>11</v>
      </c>
      <c r="F339" s="27">
        <v>0.019</v>
      </c>
      <c r="G339" s="11"/>
      <c r="H339" s="26"/>
      <c r="I339" s="24">
        <f t="shared" si="2"/>
        <v>8</v>
      </c>
      <c r="J339" s="25">
        <f t="shared" si="3"/>
        <v>3</v>
      </c>
    </row>
    <row r="340">
      <c r="A340" s="16">
        <v>5674.0</v>
      </c>
      <c r="B340" s="6" t="s">
        <v>296</v>
      </c>
      <c r="C340" s="6" t="s">
        <v>381</v>
      </c>
      <c r="D340" s="6" t="s">
        <v>54</v>
      </c>
      <c r="E340" s="18">
        <f t="shared" si="1"/>
        <v>11</v>
      </c>
      <c r="F340" s="27">
        <v>0.019</v>
      </c>
      <c r="G340" s="11"/>
      <c r="H340" s="26"/>
      <c r="I340" s="24">
        <f t="shared" si="2"/>
        <v>8</v>
      </c>
      <c r="J340" s="25">
        <f t="shared" si="3"/>
        <v>3</v>
      </c>
    </row>
    <row r="341">
      <c r="A341" s="16">
        <v>7535.0</v>
      </c>
      <c r="B341" s="6" t="s">
        <v>296</v>
      </c>
      <c r="C341" s="6" t="s">
        <v>382</v>
      </c>
      <c r="D341" s="6" t="s">
        <v>56</v>
      </c>
      <c r="E341" s="18">
        <f t="shared" si="1"/>
        <v>11</v>
      </c>
      <c r="F341" s="27">
        <v>0.018</v>
      </c>
      <c r="G341" s="11"/>
      <c r="H341" s="26"/>
      <c r="I341" s="24">
        <f t="shared" si="2"/>
        <v>8</v>
      </c>
      <c r="J341" s="25">
        <f t="shared" si="3"/>
        <v>3</v>
      </c>
    </row>
    <row r="342">
      <c r="A342" s="16">
        <v>2765.0</v>
      </c>
      <c r="B342" s="6" t="s">
        <v>296</v>
      </c>
      <c r="C342" s="6" t="s">
        <v>383</v>
      </c>
      <c r="D342" s="6" t="s">
        <v>37</v>
      </c>
      <c r="E342" s="18">
        <f t="shared" si="1"/>
        <v>6</v>
      </c>
      <c r="F342" s="19">
        <v>0.01</v>
      </c>
      <c r="G342" s="21" t="s">
        <v>132</v>
      </c>
      <c r="H342" s="26"/>
      <c r="I342" s="24">
        <f t="shared" si="2"/>
        <v>6</v>
      </c>
      <c r="J342" s="25">
        <f t="shared" si="3"/>
        <v>3</v>
      </c>
    </row>
    <row r="343">
      <c r="A343" s="16">
        <v>4459.0</v>
      </c>
      <c r="B343" s="6" t="s">
        <v>296</v>
      </c>
      <c r="C343" s="6" t="s">
        <v>384</v>
      </c>
      <c r="D343" s="6" t="s">
        <v>31</v>
      </c>
      <c r="E343" s="18">
        <f t="shared" si="1"/>
        <v>10</v>
      </c>
      <c r="F343" s="27">
        <v>0.016</v>
      </c>
      <c r="G343" s="11"/>
      <c r="H343" s="26"/>
      <c r="I343" s="24">
        <f t="shared" si="2"/>
        <v>8</v>
      </c>
      <c r="J343" s="25">
        <f t="shared" si="3"/>
        <v>3</v>
      </c>
    </row>
    <row r="344">
      <c r="A344" s="16">
        <v>5504.0</v>
      </c>
      <c r="B344" s="6" t="s">
        <v>296</v>
      </c>
      <c r="C344" s="6" t="s">
        <v>385</v>
      </c>
      <c r="D344" s="6" t="s">
        <v>41</v>
      </c>
      <c r="E344" s="18">
        <f t="shared" si="1"/>
        <v>10</v>
      </c>
      <c r="F344" s="27">
        <v>0.017</v>
      </c>
      <c r="G344" s="11"/>
      <c r="H344" s="26"/>
      <c r="I344" s="24">
        <f t="shared" si="2"/>
        <v>8</v>
      </c>
      <c r="J344" s="25">
        <f t="shared" si="3"/>
        <v>3</v>
      </c>
    </row>
    <row r="345">
      <c r="A345" s="16">
        <v>6783.0</v>
      </c>
      <c r="B345" s="6" t="s">
        <v>296</v>
      </c>
      <c r="C345" s="6" t="s">
        <v>386</v>
      </c>
      <c r="D345" s="6" t="s">
        <v>39</v>
      </c>
      <c r="E345" s="18">
        <f t="shared" si="1"/>
        <v>10</v>
      </c>
      <c r="F345" s="27">
        <v>0.016</v>
      </c>
      <c r="G345" s="11"/>
      <c r="H345" s="26"/>
      <c r="I345" s="24">
        <f t="shared" si="2"/>
        <v>8</v>
      </c>
      <c r="J345" s="25">
        <f t="shared" si="3"/>
        <v>3</v>
      </c>
    </row>
    <row r="346">
      <c r="A346" s="16">
        <v>5036.0</v>
      </c>
      <c r="B346" s="6" t="s">
        <v>296</v>
      </c>
      <c r="C346" s="6" t="s">
        <v>387</v>
      </c>
      <c r="D346" s="6" t="s">
        <v>29</v>
      </c>
      <c r="E346" s="18">
        <f t="shared" si="1"/>
        <v>10</v>
      </c>
      <c r="F346" s="27">
        <v>0.017</v>
      </c>
      <c r="G346" s="11"/>
      <c r="H346" s="26"/>
      <c r="I346" s="24">
        <f t="shared" si="2"/>
        <v>8</v>
      </c>
      <c r="J346" s="25">
        <f t="shared" si="3"/>
        <v>3</v>
      </c>
    </row>
    <row r="347">
      <c r="A347" s="16">
        <v>6020.0</v>
      </c>
      <c r="B347" s="6" t="s">
        <v>296</v>
      </c>
      <c r="C347" s="6" t="s">
        <v>388</v>
      </c>
      <c r="D347" s="6" t="s">
        <v>47</v>
      </c>
      <c r="E347" s="18">
        <f t="shared" si="1"/>
        <v>10</v>
      </c>
      <c r="F347" s="27">
        <v>0.016</v>
      </c>
      <c r="G347" s="11"/>
      <c r="H347" s="26"/>
      <c r="I347" s="24">
        <f t="shared" si="2"/>
        <v>8</v>
      </c>
      <c r="J347" s="25">
        <f t="shared" si="3"/>
        <v>3</v>
      </c>
    </row>
    <row r="348">
      <c r="A348" s="16">
        <v>4199.0</v>
      </c>
      <c r="B348" s="6" t="s">
        <v>296</v>
      </c>
      <c r="C348" s="6" t="s">
        <v>389</v>
      </c>
      <c r="D348" s="6" t="s">
        <v>23</v>
      </c>
      <c r="E348" s="18">
        <f t="shared" si="1"/>
        <v>6</v>
      </c>
      <c r="F348" s="19">
        <v>0.01</v>
      </c>
      <c r="G348" s="21" t="s">
        <v>132</v>
      </c>
      <c r="H348" s="26"/>
      <c r="I348" s="24">
        <f t="shared" si="2"/>
        <v>6</v>
      </c>
      <c r="J348" s="25">
        <f t="shared" si="3"/>
        <v>3</v>
      </c>
    </row>
    <row r="349">
      <c r="A349" s="16">
        <v>6252.0</v>
      </c>
      <c r="B349" s="6" t="s">
        <v>296</v>
      </c>
      <c r="C349" s="6" t="s">
        <v>390</v>
      </c>
      <c r="D349" s="6" t="s">
        <v>52</v>
      </c>
      <c r="E349" s="18">
        <f t="shared" si="1"/>
        <v>10</v>
      </c>
      <c r="F349" s="27">
        <v>0.017</v>
      </c>
      <c r="G349" s="11"/>
      <c r="H349" s="26"/>
      <c r="I349" s="24">
        <f t="shared" si="2"/>
        <v>8</v>
      </c>
      <c r="J349" s="25">
        <f t="shared" si="3"/>
        <v>3</v>
      </c>
    </row>
    <row r="350">
      <c r="A350" s="16">
        <v>5878.0</v>
      </c>
      <c r="B350" s="6" t="s">
        <v>296</v>
      </c>
      <c r="C350" s="6" t="s">
        <v>391</v>
      </c>
      <c r="D350" s="6" t="s">
        <v>52</v>
      </c>
      <c r="E350" s="18">
        <f t="shared" si="1"/>
        <v>9</v>
      </c>
      <c r="F350" s="27">
        <v>0.015</v>
      </c>
      <c r="G350" s="11"/>
      <c r="H350" s="26"/>
      <c r="I350" s="24">
        <f t="shared" si="2"/>
        <v>8</v>
      </c>
      <c r="J350" s="25">
        <f t="shared" si="3"/>
        <v>3</v>
      </c>
    </row>
    <row r="351">
      <c r="A351" s="16">
        <v>5685.0</v>
      </c>
      <c r="B351" s="6" t="s">
        <v>296</v>
      </c>
      <c r="C351" s="6" t="s">
        <v>392</v>
      </c>
      <c r="D351" s="6" t="s">
        <v>21</v>
      </c>
      <c r="E351" s="18">
        <f t="shared" si="1"/>
        <v>6</v>
      </c>
      <c r="F351" s="19">
        <v>0.01</v>
      </c>
      <c r="G351" s="21" t="s">
        <v>126</v>
      </c>
      <c r="H351" s="26"/>
      <c r="I351" s="24">
        <f t="shared" si="2"/>
        <v>5</v>
      </c>
      <c r="J351" s="25">
        <f t="shared" si="3"/>
        <v>3</v>
      </c>
    </row>
    <row r="352">
      <c r="A352" s="16">
        <v>5946.0</v>
      </c>
      <c r="B352" s="6" t="s">
        <v>296</v>
      </c>
      <c r="C352" s="6" t="s">
        <v>393</v>
      </c>
      <c r="D352" s="6" t="s">
        <v>47</v>
      </c>
      <c r="E352" s="18">
        <f t="shared" si="1"/>
        <v>1</v>
      </c>
      <c r="F352" s="19">
        <v>0.002</v>
      </c>
      <c r="G352" s="21" t="s">
        <v>126</v>
      </c>
      <c r="H352" s="26"/>
      <c r="I352" s="24">
        <f t="shared" si="2"/>
        <v>5</v>
      </c>
      <c r="J352" s="25">
        <f t="shared" si="3"/>
        <v>3</v>
      </c>
    </row>
    <row r="353">
      <c r="A353" s="16">
        <v>4260.0</v>
      </c>
      <c r="B353" s="6" t="s">
        <v>296</v>
      </c>
      <c r="C353" s="6" t="s">
        <v>394</v>
      </c>
      <c r="D353" s="6" t="s">
        <v>43</v>
      </c>
      <c r="E353" s="18">
        <f t="shared" si="1"/>
        <v>9</v>
      </c>
      <c r="F353" s="27">
        <v>0.015</v>
      </c>
      <c r="G353" s="11"/>
      <c r="H353" s="26"/>
      <c r="I353" s="24">
        <f t="shared" si="2"/>
        <v>8</v>
      </c>
      <c r="J353" s="25">
        <f t="shared" si="3"/>
        <v>3</v>
      </c>
    </row>
    <row r="354">
      <c r="A354" s="16">
        <v>2741.0</v>
      </c>
      <c r="B354" s="6" t="s">
        <v>296</v>
      </c>
      <c r="C354" s="6" t="s">
        <v>395</v>
      </c>
      <c r="D354" s="6" t="s">
        <v>52</v>
      </c>
      <c r="E354" s="18">
        <f t="shared" si="1"/>
        <v>9</v>
      </c>
      <c r="F354" s="27">
        <v>0.015</v>
      </c>
      <c r="G354" s="11"/>
      <c r="H354" s="26"/>
      <c r="I354" s="24">
        <f t="shared" si="2"/>
        <v>8</v>
      </c>
      <c r="J354" s="25">
        <f t="shared" si="3"/>
        <v>3</v>
      </c>
    </row>
    <row r="355">
      <c r="A355" s="16">
        <v>2528.0</v>
      </c>
      <c r="B355" s="6" t="s">
        <v>296</v>
      </c>
      <c r="C355" s="6" t="s">
        <v>396</v>
      </c>
      <c r="D355" s="6" t="s">
        <v>59</v>
      </c>
      <c r="E355" s="18">
        <f t="shared" si="1"/>
        <v>9</v>
      </c>
      <c r="F355" s="27">
        <v>0.015</v>
      </c>
      <c r="G355" s="11"/>
      <c r="H355" s="26"/>
      <c r="I355" s="24">
        <f t="shared" si="2"/>
        <v>8</v>
      </c>
      <c r="J355" s="25">
        <f t="shared" si="3"/>
        <v>3</v>
      </c>
    </row>
    <row r="356">
      <c r="A356" s="16">
        <v>7198.0</v>
      </c>
      <c r="B356" s="6" t="s">
        <v>296</v>
      </c>
      <c r="C356" s="6" t="s">
        <v>397</v>
      </c>
      <c r="D356" s="6" t="s">
        <v>39</v>
      </c>
      <c r="E356" s="18">
        <f t="shared" si="1"/>
        <v>9</v>
      </c>
      <c r="F356" s="27">
        <v>0.015</v>
      </c>
      <c r="G356" s="11"/>
      <c r="H356" s="26"/>
      <c r="I356" s="24">
        <f t="shared" si="2"/>
        <v>8</v>
      </c>
      <c r="J356" s="25">
        <f t="shared" si="3"/>
        <v>3</v>
      </c>
    </row>
    <row r="357">
      <c r="A357" s="16">
        <v>6898.0</v>
      </c>
      <c r="B357" s="6" t="s">
        <v>296</v>
      </c>
      <c r="C357" s="6" t="s">
        <v>398</v>
      </c>
      <c r="D357" s="6" t="s">
        <v>50</v>
      </c>
      <c r="E357" s="18">
        <f t="shared" si="1"/>
        <v>9</v>
      </c>
      <c r="F357" s="27">
        <v>0.015</v>
      </c>
      <c r="G357" s="11"/>
      <c r="H357" s="26"/>
      <c r="I357" s="24">
        <f t="shared" si="2"/>
        <v>8</v>
      </c>
      <c r="J357" s="25">
        <f t="shared" si="3"/>
        <v>3</v>
      </c>
    </row>
    <row r="358">
      <c r="A358" s="16">
        <v>6994.0</v>
      </c>
      <c r="B358" s="6" t="s">
        <v>296</v>
      </c>
      <c r="C358" s="6" t="s">
        <v>399</v>
      </c>
      <c r="D358" s="6" t="s">
        <v>54</v>
      </c>
      <c r="E358" s="18">
        <f t="shared" si="1"/>
        <v>9</v>
      </c>
      <c r="F358" s="27">
        <v>0.015</v>
      </c>
      <c r="G358" s="11"/>
      <c r="H358" s="26"/>
      <c r="I358" s="24">
        <f t="shared" si="2"/>
        <v>8</v>
      </c>
      <c r="J358" s="25">
        <f t="shared" si="3"/>
        <v>3</v>
      </c>
    </row>
    <row r="359">
      <c r="A359" s="16">
        <v>4911.0</v>
      </c>
      <c r="B359" s="6" t="s">
        <v>296</v>
      </c>
      <c r="C359" s="6" t="s">
        <v>400</v>
      </c>
      <c r="D359" s="6" t="s">
        <v>21</v>
      </c>
      <c r="E359" s="18">
        <f t="shared" si="1"/>
        <v>9</v>
      </c>
      <c r="F359" s="27">
        <v>0.015</v>
      </c>
      <c r="G359" s="11"/>
      <c r="H359" s="26"/>
      <c r="I359" s="24">
        <f t="shared" si="2"/>
        <v>8</v>
      </c>
      <c r="J359" s="25">
        <f t="shared" si="3"/>
        <v>3</v>
      </c>
    </row>
    <row r="360">
      <c r="A360" s="16">
        <v>5295.0</v>
      </c>
      <c r="B360" s="6" t="s">
        <v>296</v>
      </c>
      <c r="C360" s="6" t="s">
        <v>401</v>
      </c>
      <c r="D360" s="6" t="s">
        <v>23</v>
      </c>
      <c r="E360" s="18">
        <f t="shared" si="1"/>
        <v>9</v>
      </c>
      <c r="F360" s="27">
        <v>0.015</v>
      </c>
      <c r="G360" s="11"/>
      <c r="H360" s="26"/>
      <c r="I360" s="24">
        <f t="shared" si="2"/>
        <v>8</v>
      </c>
      <c r="J360" s="25">
        <f t="shared" si="3"/>
        <v>3</v>
      </c>
    </row>
    <row r="361">
      <c r="A361" s="16">
        <v>4870.0</v>
      </c>
      <c r="B361" s="6" t="s">
        <v>296</v>
      </c>
      <c r="C361" s="6" t="s">
        <v>402</v>
      </c>
      <c r="D361" s="6" t="s">
        <v>43</v>
      </c>
      <c r="E361" s="18">
        <f t="shared" si="1"/>
        <v>8</v>
      </c>
      <c r="F361" s="27">
        <v>0.013</v>
      </c>
      <c r="G361" s="11"/>
      <c r="H361" s="26"/>
      <c r="I361" s="24">
        <f t="shared" si="2"/>
        <v>8</v>
      </c>
      <c r="J361" s="25">
        <f t="shared" si="3"/>
        <v>3</v>
      </c>
    </row>
    <row r="362">
      <c r="A362" s="16">
        <v>7036.0</v>
      </c>
      <c r="B362" s="6" t="s">
        <v>296</v>
      </c>
      <c r="C362" s="6" t="s">
        <v>403</v>
      </c>
      <c r="D362" s="6" t="s">
        <v>59</v>
      </c>
      <c r="E362" s="18">
        <f t="shared" si="1"/>
        <v>8</v>
      </c>
      <c r="F362" s="27">
        <v>0.014</v>
      </c>
      <c r="G362" s="11"/>
      <c r="H362" s="26"/>
      <c r="I362" s="24">
        <f t="shared" si="2"/>
        <v>8</v>
      </c>
      <c r="J362" s="25">
        <f t="shared" si="3"/>
        <v>3</v>
      </c>
    </row>
    <row r="363">
      <c r="A363" s="16">
        <v>7146.0</v>
      </c>
      <c r="B363" s="6" t="s">
        <v>296</v>
      </c>
      <c r="C363" s="6" t="s">
        <v>404</v>
      </c>
      <c r="D363" s="6" t="s">
        <v>52</v>
      </c>
      <c r="E363" s="18">
        <f t="shared" si="1"/>
        <v>8</v>
      </c>
      <c r="F363" s="27">
        <v>0.014</v>
      </c>
      <c r="G363" s="11"/>
      <c r="H363" s="26"/>
      <c r="I363" s="24">
        <f t="shared" si="2"/>
        <v>8</v>
      </c>
      <c r="J363" s="25">
        <f t="shared" si="3"/>
        <v>3</v>
      </c>
    </row>
    <row r="364">
      <c r="A364" s="16">
        <v>6629.0</v>
      </c>
      <c r="B364" s="6" t="s">
        <v>296</v>
      </c>
      <c r="C364" s="6" t="s">
        <v>405</v>
      </c>
      <c r="D364" s="6" t="s">
        <v>31</v>
      </c>
      <c r="E364" s="18">
        <f t="shared" si="1"/>
        <v>8</v>
      </c>
      <c r="F364" s="27">
        <v>0.013</v>
      </c>
      <c r="G364" s="11"/>
      <c r="H364" s="26"/>
      <c r="I364" s="24">
        <f t="shared" si="2"/>
        <v>8</v>
      </c>
      <c r="J364" s="25">
        <f t="shared" si="3"/>
        <v>3</v>
      </c>
    </row>
    <row r="365">
      <c r="A365" s="16">
        <v>7203.0</v>
      </c>
      <c r="B365" s="6" t="s">
        <v>296</v>
      </c>
      <c r="C365" s="6" t="s">
        <v>406</v>
      </c>
      <c r="D365" s="6" t="s">
        <v>23</v>
      </c>
      <c r="E365" s="18">
        <f t="shared" si="1"/>
        <v>8</v>
      </c>
      <c r="F365" s="27">
        <v>0.013</v>
      </c>
      <c r="G365" s="11"/>
      <c r="H365" s="26"/>
      <c r="I365" s="24">
        <f t="shared" si="2"/>
        <v>8</v>
      </c>
      <c r="J365" s="25">
        <f t="shared" si="3"/>
        <v>3</v>
      </c>
    </row>
    <row r="366">
      <c r="A366" s="16">
        <v>5507.0</v>
      </c>
      <c r="B366" s="6" t="s">
        <v>296</v>
      </c>
      <c r="C366" s="6" t="s">
        <v>407</v>
      </c>
      <c r="D366" s="6" t="s">
        <v>54</v>
      </c>
      <c r="E366" s="18">
        <f t="shared" si="1"/>
        <v>8</v>
      </c>
      <c r="F366" s="27">
        <v>0.014</v>
      </c>
      <c r="G366" s="11"/>
      <c r="H366" s="26"/>
      <c r="I366" s="24">
        <f t="shared" si="2"/>
        <v>8</v>
      </c>
      <c r="J366" s="25">
        <f t="shared" si="3"/>
        <v>3</v>
      </c>
    </row>
    <row r="367">
      <c r="A367" s="16">
        <v>6054.0</v>
      </c>
      <c r="B367" s="6" t="s">
        <v>296</v>
      </c>
      <c r="C367" s="6" t="s">
        <v>408</v>
      </c>
      <c r="D367" s="6" t="s">
        <v>37</v>
      </c>
      <c r="E367" s="18">
        <f t="shared" si="1"/>
        <v>8</v>
      </c>
      <c r="F367" s="27">
        <v>0.014</v>
      </c>
      <c r="G367" s="11"/>
      <c r="H367" s="26"/>
      <c r="I367" s="24">
        <f t="shared" si="2"/>
        <v>8</v>
      </c>
      <c r="J367" s="25">
        <f t="shared" si="3"/>
        <v>3</v>
      </c>
    </row>
    <row r="368">
      <c r="A368" s="16">
        <v>6506.0</v>
      </c>
      <c r="B368" s="6" t="s">
        <v>296</v>
      </c>
      <c r="C368" s="6" t="s">
        <v>409</v>
      </c>
      <c r="D368" s="6" t="s">
        <v>63</v>
      </c>
      <c r="E368" s="18">
        <f t="shared" si="1"/>
        <v>8</v>
      </c>
      <c r="F368" s="27">
        <v>0.013</v>
      </c>
      <c r="G368" s="11"/>
      <c r="H368" s="26"/>
      <c r="I368" s="24">
        <f t="shared" si="2"/>
        <v>8</v>
      </c>
      <c r="J368" s="25">
        <f t="shared" si="3"/>
        <v>3</v>
      </c>
    </row>
    <row r="369">
      <c r="A369" s="16">
        <v>6593.0</v>
      </c>
      <c r="B369" s="6" t="s">
        <v>296</v>
      </c>
      <c r="C369" s="6" t="s">
        <v>410</v>
      </c>
      <c r="D369" s="6" t="s">
        <v>52</v>
      </c>
      <c r="E369" s="18">
        <f t="shared" si="1"/>
        <v>7</v>
      </c>
      <c r="F369" s="27">
        <v>0.011</v>
      </c>
      <c r="G369" s="11"/>
      <c r="H369" s="26"/>
      <c r="I369" s="24">
        <f t="shared" si="2"/>
        <v>8</v>
      </c>
      <c r="J369" s="25">
        <f t="shared" si="3"/>
        <v>3</v>
      </c>
    </row>
    <row r="370">
      <c r="A370" s="16">
        <v>5298.0</v>
      </c>
      <c r="B370" s="6" t="s">
        <v>296</v>
      </c>
      <c r="C370" s="6" t="s">
        <v>412</v>
      </c>
      <c r="D370" s="6" t="s">
        <v>37</v>
      </c>
      <c r="E370" s="18">
        <f t="shared" si="1"/>
        <v>7</v>
      </c>
      <c r="F370" s="27">
        <v>0.012</v>
      </c>
      <c r="G370" s="11"/>
      <c r="H370" s="26"/>
      <c r="I370" s="24">
        <f t="shared" si="2"/>
        <v>8</v>
      </c>
      <c r="J370" s="25">
        <f t="shared" si="3"/>
        <v>3</v>
      </c>
    </row>
    <row r="371">
      <c r="A371" s="16">
        <v>5998.0</v>
      </c>
      <c r="B371" s="6" t="s">
        <v>296</v>
      </c>
      <c r="C371" s="6" t="s">
        <v>413</v>
      </c>
      <c r="D371" s="6" t="s">
        <v>63</v>
      </c>
      <c r="E371" s="18">
        <f t="shared" si="1"/>
        <v>7</v>
      </c>
      <c r="F371" s="27">
        <v>0.012</v>
      </c>
      <c r="G371" s="11"/>
      <c r="H371" s="26"/>
      <c r="I371" s="24">
        <f t="shared" si="2"/>
        <v>8</v>
      </c>
      <c r="J371" s="25">
        <f t="shared" si="3"/>
        <v>3</v>
      </c>
    </row>
    <row r="372">
      <c r="A372" s="16">
        <v>6218.0</v>
      </c>
      <c r="B372" s="6" t="s">
        <v>296</v>
      </c>
      <c r="C372" s="6" t="s">
        <v>415</v>
      </c>
      <c r="D372" s="6" t="s">
        <v>56</v>
      </c>
      <c r="E372" s="18">
        <f t="shared" si="1"/>
        <v>7</v>
      </c>
      <c r="F372" s="27">
        <v>0.012</v>
      </c>
      <c r="G372" s="11"/>
      <c r="H372" s="26"/>
      <c r="I372" s="24">
        <f t="shared" si="2"/>
        <v>8</v>
      </c>
      <c r="J372" s="25">
        <f t="shared" si="3"/>
        <v>3</v>
      </c>
    </row>
    <row r="373">
      <c r="A373" s="16">
        <v>7409.0</v>
      </c>
      <c r="B373" s="6" t="s">
        <v>296</v>
      </c>
      <c r="C373" s="6" t="s">
        <v>420</v>
      </c>
      <c r="D373" s="6" t="s">
        <v>47</v>
      </c>
      <c r="E373" s="18">
        <f t="shared" si="1"/>
        <v>7</v>
      </c>
      <c r="F373" s="27">
        <v>0.011</v>
      </c>
      <c r="G373" s="11"/>
      <c r="H373" s="26"/>
      <c r="I373" s="24">
        <f t="shared" si="2"/>
        <v>8</v>
      </c>
      <c r="J373" s="25">
        <f t="shared" si="3"/>
        <v>3</v>
      </c>
    </row>
    <row r="374">
      <c r="A374" s="16">
        <v>5301.0</v>
      </c>
      <c r="B374" s="6" t="s">
        <v>296</v>
      </c>
      <c r="C374" s="6" t="s">
        <v>426</v>
      </c>
      <c r="D374" s="6" t="s">
        <v>19</v>
      </c>
      <c r="E374" s="18">
        <f t="shared" si="1"/>
        <v>7</v>
      </c>
      <c r="F374" s="27">
        <v>0.012</v>
      </c>
      <c r="G374" s="11"/>
      <c r="H374" s="26"/>
      <c r="I374" s="24">
        <f t="shared" si="2"/>
        <v>8</v>
      </c>
      <c r="J374" s="25">
        <f t="shared" si="3"/>
        <v>3</v>
      </c>
    </row>
    <row r="375">
      <c r="A375" s="16">
        <v>6170.0</v>
      </c>
      <c r="B375" s="6" t="s">
        <v>296</v>
      </c>
      <c r="C375" s="6" t="s">
        <v>427</v>
      </c>
      <c r="D375" s="6" t="s">
        <v>56</v>
      </c>
      <c r="E375" s="18">
        <f t="shared" si="1"/>
        <v>7</v>
      </c>
      <c r="F375" s="27">
        <v>0.012</v>
      </c>
      <c r="G375" s="11"/>
      <c r="H375" s="26"/>
      <c r="I375" s="24">
        <f t="shared" si="2"/>
        <v>8</v>
      </c>
      <c r="J375" s="25">
        <f t="shared" si="3"/>
        <v>3</v>
      </c>
    </row>
    <row r="376">
      <c r="A376" s="16">
        <v>5319.0</v>
      </c>
      <c r="B376" s="6" t="s">
        <v>296</v>
      </c>
      <c r="C376" s="6" t="s">
        <v>428</v>
      </c>
      <c r="D376" s="6" t="s">
        <v>54</v>
      </c>
      <c r="E376" s="18">
        <f t="shared" si="1"/>
        <v>7</v>
      </c>
      <c r="F376" s="27">
        <v>0.011</v>
      </c>
      <c r="G376" s="11"/>
      <c r="H376" s="26"/>
      <c r="I376" s="24">
        <f t="shared" si="2"/>
        <v>8</v>
      </c>
      <c r="J376" s="25">
        <f t="shared" si="3"/>
        <v>3</v>
      </c>
    </row>
    <row r="377">
      <c r="A377" s="16">
        <v>6895.0</v>
      </c>
      <c r="B377" s="6" t="s">
        <v>296</v>
      </c>
      <c r="C377" s="6" t="s">
        <v>429</v>
      </c>
      <c r="D377" s="6" t="s">
        <v>59</v>
      </c>
      <c r="E377" s="18">
        <f t="shared" si="1"/>
        <v>7</v>
      </c>
      <c r="F377" s="27">
        <v>0.012</v>
      </c>
      <c r="G377" s="11"/>
      <c r="H377" s="26"/>
      <c r="I377" s="24">
        <f t="shared" si="2"/>
        <v>8</v>
      </c>
      <c r="J377" s="25">
        <f t="shared" si="3"/>
        <v>3</v>
      </c>
    </row>
    <row r="378">
      <c r="A378" s="16">
        <v>7473.0</v>
      </c>
      <c r="B378" s="6" t="s">
        <v>296</v>
      </c>
      <c r="C378" s="6" t="s">
        <v>430</v>
      </c>
      <c r="D378" s="6" t="s">
        <v>63</v>
      </c>
      <c r="E378" s="18">
        <f t="shared" si="1"/>
        <v>7</v>
      </c>
      <c r="F378" s="27">
        <v>0.012</v>
      </c>
      <c r="G378" s="11"/>
      <c r="H378" s="26"/>
      <c r="I378" s="24">
        <f t="shared" si="2"/>
        <v>8</v>
      </c>
      <c r="J378" s="25">
        <f t="shared" si="3"/>
        <v>3</v>
      </c>
    </row>
    <row r="379">
      <c r="A379" s="16">
        <v>7341.0</v>
      </c>
      <c r="B379" s="6" t="s">
        <v>296</v>
      </c>
      <c r="C379" s="6" t="s">
        <v>431</v>
      </c>
      <c r="D379" s="6" t="s">
        <v>47</v>
      </c>
      <c r="E379" s="18">
        <f t="shared" si="1"/>
        <v>7</v>
      </c>
      <c r="F379" s="27">
        <v>0.011</v>
      </c>
      <c r="G379" s="11"/>
      <c r="H379" s="26"/>
      <c r="I379" s="24">
        <f t="shared" si="2"/>
        <v>8</v>
      </c>
      <c r="J379" s="25">
        <f t="shared" si="3"/>
        <v>3</v>
      </c>
    </row>
    <row r="380">
      <c r="A380" s="16">
        <v>2857.0</v>
      </c>
      <c r="B380" s="6" t="s">
        <v>296</v>
      </c>
      <c r="C380" s="6" t="s">
        <v>432</v>
      </c>
      <c r="D380" s="6" t="s">
        <v>47</v>
      </c>
      <c r="E380" s="18">
        <f t="shared" si="1"/>
        <v>7</v>
      </c>
      <c r="F380" s="27">
        <v>0.011</v>
      </c>
      <c r="G380" s="11"/>
      <c r="H380" s="26"/>
      <c r="I380" s="24">
        <f t="shared" si="2"/>
        <v>8</v>
      </c>
      <c r="J380" s="25">
        <f t="shared" si="3"/>
        <v>3</v>
      </c>
    </row>
    <row r="381">
      <c r="A381" s="16">
        <v>333.0</v>
      </c>
      <c r="B381" s="6" t="s">
        <v>296</v>
      </c>
      <c r="C381" s="6" t="s">
        <v>433</v>
      </c>
      <c r="D381" s="6" t="s">
        <v>31</v>
      </c>
      <c r="E381" s="18">
        <f t="shared" si="1"/>
        <v>7</v>
      </c>
      <c r="F381" s="27">
        <v>0.012</v>
      </c>
      <c r="G381" s="11"/>
      <c r="H381" s="26"/>
      <c r="I381" s="24">
        <f t="shared" si="2"/>
        <v>8</v>
      </c>
      <c r="J381" s="25">
        <f t="shared" si="3"/>
        <v>3</v>
      </c>
    </row>
    <row r="382">
      <c r="A382" s="16">
        <v>7322.0</v>
      </c>
      <c r="B382" s="6" t="s">
        <v>296</v>
      </c>
      <c r="C382" s="6" t="s">
        <v>434</v>
      </c>
      <c r="D382" s="6" t="s">
        <v>41</v>
      </c>
      <c r="E382" s="18">
        <f t="shared" si="1"/>
        <v>7</v>
      </c>
      <c r="F382" s="27">
        <v>0.012</v>
      </c>
      <c r="G382" s="11"/>
      <c r="H382" s="26"/>
      <c r="I382" s="24">
        <f t="shared" si="2"/>
        <v>8</v>
      </c>
      <c r="J382" s="25">
        <f t="shared" si="3"/>
        <v>3</v>
      </c>
    </row>
    <row r="383">
      <c r="A383" s="16">
        <v>6015.0</v>
      </c>
      <c r="B383" s="6" t="s">
        <v>296</v>
      </c>
      <c r="C383" s="6" t="s">
        <v>435</v>
      </c>
      <c r="D383" s="6" t="s">
        <v>41</v>
      </c>
      <c r="E383" s="18">
        <f t="shared" si="1"/>
        <v>7</v>
      </c>
      <c r="F383" s="27">
        <v>0.012</v>
      </c>
      <c r="G383" s="11"/>
      <c r="H383" s="26"/>
      <c r="I383" s="24">
        <f t="shared" si="2"/>
        <v>8</v>
      </c>
      <c r="J383" s="25">
        <f t="shared" si="3"/>
        <v>3</v>
      </c>
    </row>
    <row r="384">
      <c r="A384" s="16">
        <v>5453.0</v>
      </c>
      <c r="B384" s="6" t="s">
        <v>296</v>
      </c>
      <c r="C384" s="6" t="s">
        <v>437</v>
      </c>
      <c r="D384" s="6" t="s">
        <v>29</v>
      </c>
      <c r="E384" s="18">
        <f t="shared" si="1"/>
        <v>7</v>
      </c>
      <c r="F384" s="27">
        <v>0.012</v>
      </c>
      <c r="G384" s="11"/>
      <c r="H384" s="26"/>
      <c r="I384" s="24">
        <f t="shared" si="2"/>
        <v>8</v>
      </c>
      <c r="J384" s="25">
        <f t="shared" si="3"/>
        <v>3</v>
      </c>
    </row>
    <row r="385">
      <c r="A385" s="16">
        <v>6207.0</v>
      </c>
      <c r="B385" s="6" t="s">
        <v>296</v>
      </c>
      <c r="C385" s="6" t="s">
        <v>441</v>
      </c>
      <c r="D385" s="6" t="s">
        <v>50</v>
      </c>
      <c r="E385" s="18">
        <f t="shared" si="1"/>
        <v>7</v>
      </c>
      <c r="F385" s="27">
        <v>0.011</v>
      </c>
      <c r="G385" s="11"/>
      <c r="H385" s="26"/>
      <c r="I385" s="24">
        <f t="shared" si="2"/>
        <v>8</v>
      </c>
      <c r="J385" s="25">
        <f t="shared" si="3"/>
        <v>3</v>
      </c>
    </row>
    <row r="386">
      <c r="A386" s="16">
        <v>7208.0</v>
      </c>
      <c r="B386" s="6" t="s">
        <v>296</v>
      </c>
      <c r="C386" s="6" t="s">
        <v>442</v>
      </c>
      <c r="D386" s="6" t="s">
        <v>39</v>
      </c>
      <c r="E386" s="18">
        <f t="shared" si="1"/>
        <v>7</v>
      </c>
      <c r="F386" s="27">
        <v>0.012</v>
      </c>
      <c r="G386" s="11"/>
      <c r="H386" s="26"/>
      <c r="I386" s="24">
        <f t="shared" si="2"/>
        <v>8</v>
      </c>
      <c r="J386" s="25">
        <f t="shared" si="3"/>
        <v>3</v>
      </c>
    </row>
    <row r="387">
      <c r="A387" s="16">
        <v>7579.0</v>
      </c>
      <c r="B387" s="6" t="s">
        <v>296</v>
      </c>
      <c r="C387" s="6" t="s">
        <v>443</v>
      </c>
      <c r="D387" s="6" t="s">
        <v>43</v>
      </c>
      <c r="E387" s="18">
        <f t="shared" si="1"/>
        <v>7</v>
      </c>
      <c r="F387" s="27">
        <v>0.012</v>
      </c>
      <c r="G387" s="11"/>
      <c r="H387" s="26"/>
      <c r="I387" s="24">
        <f t="shared" si="2"/>
        <v>8</v>
      </c>
      <c r="J387" s="25">
        <f t="shared" si="3"/>
        <v>3</v>
      </c>
    </row>
    <row r="388">
      <c r="A388" s="16">
        <v>4947.0</v>
      </c>
      <c r="B388" s="6" t="s">
        <v>296</v>
      </c>
      <c r="C388" s="6" t="s">
        <v>444</v>
      </c>
      <c r="D388" s="6" t="s">
        <v>35</v>
      </c>
      <c r="E388" s="18">
        <f t="shared" si="1"/>
        <v>7</v>
      </c>
      <c r="F388" s="27">
        <v>0.011</v>
      </c>
      <c r="G388" s="11"/>
      <c r="H388" s="26"/>
      <c r="I388" s="24">
        <f t="shared" si="2"/>
        <v>8</v>
      </c>
      <c r="J388" s="25">
        <f t="shared" si="3"/>
        <v>3</v>
      </c>
    </row>
    <row r="389">
      <c r="A389" s="16">
        <v>7248.0</v>
      </c>
      <c r="B389" s="6" t="s">
        <v>296</v>
      </c>
      <c r="C389" s="6" t="s">
        <v>445</v>
      </c>
      <c r="D389" s="6" t="s">
        <v>41</v>
      </c>
      <c r="E389" s="18">
        <f t="shared" si="1"/>
        <v>7</v>
      </c>
      <c r="F389" s="27">
        <v>0.012</v>
      </c>
      <c r="G389" s="11"/>
      <c r="H389" s="26"/>
      <c r="I389" s="24">
        <f t="shared" si="2"/>
        <v>8</v>
      </c>
      <c r="J389" s="25">
        <f t="shared" si="3"/>
        <v>3</v>
      </c>
    </row>
    <row r="390">
      <c r="A390" s="16">
        <v>7536.0</v>
      </c>
      <c r="B390" s="6" t="s">
        <v>296</v>
      </c>
      <c r="C390" s="6" t="s">
        <v>447</v>
      </c>
      <c r="D390" s="6" t="s">
        <v>50</v>
      </c>
      <c r="E390" s="18">
        <f t="shared" si="1"/>
        <v>7</v>
      </c>
      <c r="F390" s="27">
        <v>0.012</v>
      </c>
      <c r="G390" s="11"/>
      <c r="H390" s="26"/>
      <c r="I390" s="24">
        <f t="shared" si="2"/>
        <v>8</v>
      </c>
      <c r="J390" s="25">
        <f t="shared" si="3"/>
        <v>3</v>
      </c>
    </row>
    <row r="391">
      <c r="A391" s="16">
        <v>6815.0</v>
      </c>
      <c r="B391" s="6" t="s">
        <v>296</v>
      </c>
      <c r="C391" s="6" t="s">
        <v>448</v>
      </c>
      <c r="D391" s="6" t="s">
        <v>43</v>
      </c>
      <c r="E391" s="18">
        <f t="shared" si="1"/>
        <v>7</v>
      </c>
      <c r="F391" s="27">
        <v>0.012</v>
      </c>
      <c r="G391" s="11"/>
      <c r="H391" s="26"/>
      <c r="I391" s="24">
        <f t="shared" si="2"/>
        <v>8</v>
      </c>
      <c r="J391" s="25">
        <f t="shared" si="3"/>
        <v>3</v>
      </c>
    </row>
    <row r="392">
      <c r="A392" s="16">
        <v>7575.0</v>
      </c>
      <c r="B392" s="6" t="s">
        <v>296</v>
      </c>
      <c r="C392" s="6" t="s">
        <v>450</v>
      </c>
      <c r="D392" s="6" t="s">
        <v>52</v>
      </c>
      <c r="E392" s="18">
        <f t="shared" si="1"/>
        <v>7</v>
      </c>
      <c r="F392" s="27">
        <v>0.012</v>
      </c>
      <c r="G392" s="11"/>
      <c r="H392" s="26"/>
      <c r="I392" s="24">
        <f t="shared" si="2"/>
        <v>8</v>
      </c>
      <c r="J392" s="25">
        <f t="shared" si="3"/>
        <v>3</v>
      </c>
    </row>
    <row r="393">
      <c r="A393" s="16">
        <v>184.0</v>
      </c>
      <c r="B393" s="6" t="s">
        <v>296</v>
      </c>
      <c r="C393" s="6" t="s">
        <v>451</v>
      </c>
      <c r="D393" s="6" t="s">
        <v>37</v>
      </c>
      <c r="E393" s="18">
        <f t="shared" si="1"/>
        <v>6</v>
      </c>
      <c r="F393" s="19">
        <v>0.01</v>
      </c>
      <c r="G393" s="21" t="s">
        <v>126</v>
      </c>
      <c r="H393" s="22" t="s">
        <v>33</v>
      </c>
      <c r="I393" s="24">
        <f t="shared" si="2"/>
        <v>5</v>
      </c>
      <c r="J393" s="25">
        <f t="shared" si="3"/>
        <v>3</v>
      </c>
    </row>
    <row r="394">
      <c r="A394" s="16">
        <v>4436.0</v>
      </c>
      <c r="B394" s="6" t="s">
        <v>296</v>
      </c>
      <c r="C394" s="6" t="s">
        <v>452</v>
      </c>
      <c r="D394" s="6" t="s">
        <v>37</v>
      </c>
      <c r="E394" s="18">
        <f t="shared" si="1"/>
        <v>6</v>
      </c>
      <c r="F394" s="19">
        <v>0.01</v>
      </c>
      <c r="G394" s="21" t="s">
        <v>126</v>
      </c>
      <c r="H394" s="26"/>
      <c r="I394" s="24">
        <f t="shared" si="2"/>
        <v>5</v>
      </c>
      <c r="J394" s="25">
        <f t="shared" si="3"/>
        <v>3</v>
      </c>
    </row>
    <row r="395">
      <c r="A395" s="16">
        <v>4349.0</v>
      </c>
      <c r="B395" s="6" t="s">
        <v>296</v>
      </c>
      <c r="C395" s="6" t="s">
        <v>453</v>
      </c>
      <c r="D395" s="6" t="s">
        <v>50</v>
      </c>
      <c r="E395" s="18">
        <f t="shared" si="1"/>
        <v>6</v>
      </c>
      <c r="F395" s="19">
        <v>0.01</v>
      </c>
      <c r="G395" s="21" t="s">
        <v>126</v>
      </c>
      <c r="H395" s="26"/>
      <c r="I395" s="24">
        <f t="shared" si="2"/>
        <v>5</v>
      </c>
      <c r="J395" s="25">
        <f t="shared" si="3"/>
        <v>3</v>
      </c>
    </row>
    <row r="396">
      <c r="A396" s="16">
        <v>6677.0</v>
      </c>
      <c r="B396" s="6" t="s">
        <v>296</v>
      </c>
      <c r="C396" s="6" t="s">
        <v>455</v>
      </c>
      <c r="D396" s="6" t="s">
        <v>59</v>
      </c>
      <c r="E396" s="18">
        <f t="shared" si="1"/>
        <v>6</v>
      </c>
      <c r="F396" s="19">
        <v>0.01</v>
      </c>
      <c r="G396" s="21" t="s">
        <v>126</v>
      </c>
      <c r="H396" s="26"/>
      <c r="I396" s="24">
        <f t="shared" si="2"/>
        <v>5</v>
      </c>
      <c r="J396" s="25">
        <f t="shared" si="3"/>
        <v>3</v>
      </c>
    </row>
    <row r="397">
      <c r="A397" s="16">
        <v>7528.0</v>
      </c>
      <c r="B397" s="6" t="s">
        <v>296</v>
      </c>
      <c r="C397" s="6" t="s">
        <v>457</v>
      </c>
      <c r="D397" s="6" t="s">
        <v>37</v>
      </c>
      <c r="E397" s="18">
        <f t="shared" si="1"/>
        <v>6</v>
      </c>
      <c r="F397" s="27">
        <v>0.01</v>
      </c>
      <c r="G397" s="11"/>
      <c r="H397" s="26"/>
      <c r="I397" s="24">
        <f t="shared" si="2"/>
        <v>8</v>
      </c>
      <c r="J397" s="25">
        <f t="shared" si="3"/>
        <v>3</v>
      </c>
    </row>
    <row r="398">
      <c r="A398" s="16">
        <v>22.0</v>
      </c>
      <c r="B398" s="6" t="s">
        <v>296</v>
      </c>
      <c r="C398" s="6" t="s">
        <v>459</v>
      </c>
      <c r="D398" s="6" t="s">
        <v>16</v>
      </c>
      <c r="E398" s="18">
        <f t="shared" si="1"/>
        <v>6</v>
      </c>
      <c r="F398" s="27">
        <v>0.01</v>
      </c>
      <c r="G398" s="11"/>
      <c r="H398" s="26"/>
      <c r="I398" s="24">
        <f t="shared" si="2"/>
        <v>8</v>
      </c>
      <c r="J398" s="25">
        <f t="shared" si="3"/>
        <v>3</v>
      </c>
    </row>
    <row r="399">
      <c r="A399" s="16">
        <v>7127.0</v>
      </c>
      <c r="B399" s="6" t="s">
        <v>296</v>
      </c>
      <c r="C399" s="6" t="s">
        <v>460</v>
      </c>
      <c r="D399" s="6" t="s">
        <v>29</v>
      </c>
      <c r="E399" s="18">
        <f t="shared" si="1"/>
        <v>6</v>
      </c>
      <c r="F399" s="27">
        <v>0.01</v>
      </c>
      <c r="G399" s="11"/>
      <c r="H399" s="26"/>
      <c r="I399" s="24">
        <f t="shared" si="2"/>
        <v>8</v>
      </c>
      <c r="J399" s="25">
        <f t="shared" si="3"/>
        <v>3</v>
      </c>
    </row>
    <row r="400">
      <c r="A400" s="16">
        <v>7318.0</v>
      </c>
      <c r="B400" s="6" t="s">
        <v>296</v>
      </c>
      <c r="C400" s="6" t="s">
        <v>463</v>
      </c>
      <c r="D400" s="6" t="s">
        <v>41</v>
      </c>
      <c r="E400" s="18">
        <f t="shared" si="1"/>
        <v>6</v>
      </c>
      <c r="F400" s="27">
        <v>0.01</v>
      </c>
      <c r="G400" s="11"/>
      <c r="H400" s="26"/>
      <c r="I400" s="24">
        <f t="shared" si="2"/>
        <v>8</v>
      </c>
      <c r="J400" s="25">
        <f t="shared" si="3"/>
        <v>3</v>
      </c>
    </row>
    <row r="401">
      <c r="A401" s="16">
        <v>7550.0</v>
      </c>
      <c r="B401" s="6" t="s">
        <v>296</v>
      </c>
      <c r="C401" s="6" t="s">
        <v>468</v>
      </c>
      <c r="D401" s="6" t="s">
        <v>63</v>
      </c>
      <c r="E401" s="18">
        <f t="shared" si="1"/>
        <v>6</v>
      </c>
      <c r="F401" s="27">
        <v>0.01</v>
      </c>
      <c r="G401" s="11"/>
      <c r="H401" s="26"/>
      <c r="I401" s="24">
        <f t="shared" si="2"/>
        <v>8</v>
      </c>
      <c r="J401" s="25">
        <f t="shared" si="3"/>
        <v>3</v>
      </c>
    </row>
    <row r="402">
      <c r="A402" s="16">
        <v>5131.0</v>
      </c>
      <c r="B402" s="6" t="s">
        <v>296</v>
      </c>
      <c r="C402" s="6" t="s">
        <v>472</v>
      </c>
      <c r="D402" s="6" t="s">
        <v>27</v>
      </c>
      <c r="E402" s="18">
        <f t="shared" si="1"/>
        <v>6</v>
      </c>
      <c r="F402" s="27">
        <v>0.01</v>
      </c>
      <c r="G402" s="11"/>
      <c r="H402" s="26"/>
      <c r="I402" s="24">
        <f t="shared" si="2"/>
        <v>8</v>
      </c>
      <c r="J402" s="25">
        <f t="shared" si="3"/>
        <v>3</v>
      </c>
    </row>
    <row r="403">
      <c r="A403" s="16">
        <v>7138.0</v>
      </c>
      <c r="B403" s="6" t="s">
        <v>296</v>
      </c>
      <c r="C403" s="6" t="s">
        <v>476</v>
      </c>
      <c r="D403" s="6" t="s">
        <v>50</v>
      </c>
      <c r="E403" s="18">
        <f t="shared" si="1"/>
        <v>6</v>
      </c>
      <c r="F403" s="27">
        <v>0.01</v>
      </c>
      <c r="G403" s="11"/>
      <c r="H403" s="26"/>
      <c r="I403" s="24">
        <f t="shared" si="2"/>
        <v>8</v>
      </c>
      <c r="J403" s="25">
        <f t="shared" si="3"/>
        <v>3</v>
      </c>
    </row>
    <row r="404">
      <c r="A404" s="16">
        <v>6225.0</v>
      </c>
      <c r="B404" s="6" t="s">
        <v>296</v>
      </c>
      <c r="C404" s="6" t="s">
        <v>479</v>
      </c>
      <c r="D404" s="6" t="s">
        <v>37</v>
      </c>
      <c r="E404" s="18">
        <f t="shared" si="1"/>
        <v>6</v>
      </c>
      <c r="F404" s="27">
        <v>0.01</v>
      </c>
      <c r="G404" s="11"/>
      <c r="H404" s="26"/>
      <c r="I404" s="24">
        <f t="shared" si="2"/>
        <v>8</v>
      </c>
      <c r="J404" s="25">
        <f t="shared" si="3"/>
        <v>3</v>
      </c>
    </row>
    <row r="405">
      <c r="A405" s="16">
        <v>5007.0</v>
      </c>
      <c r="B405" s="6" t="s">
        <v>296</v>
      </c>
      <c r="C405" s="6" t="s">
        <v>483</v>
      </c>
      <c r="D405" s="6" t="s">
        <v>41</v>
      </c>
      <c r="E405" s="18">
        <f t="shared" si="1"/>
        <v>6</v>
      </c>
      <c r="F405" s="27">
        <v>0.01</v>
      </c>
      <c r="G405" s="11"/>
      <c r="H405" s="26"/>
      <c r="I405" s="24">
        <f t="shared" si="2"/>
        <v>8</v>
      </c>
      <c r="J405" s="25">
        <f t="shared" si="3"/>
        <v>3</v>
      </c>
    </row>
    <row r="406">
      <c r="A406" s="16">
        <v>6206.0</v>
      </c>
      <c r="B406" s="6" t="s">
        <v>296</v>
      </c>
      <c r="C406" s="6" t="s">
        <v>486</v>
      </c>
      <c r="D406" s="6" t="s">
        <v>50</v>
      </c>
      <c r="E406" s="18">
        <f t="shared" si="1"/>
        <v>5</v>
      </c>
      <c r="F406" s="27">
        <v>0.008</v>
      </c>
      <c r="G406" s="11"/>
      <c r="H406" s="26"/>
      <c r="I406" s="24">
        <f t="shared" si="2"/>
        <v>8</v>
      </c>
      <c r="J406" s="25">
        <f t="shared" si="3"/>
        <v>3</v>
      </c>
    </row>
    <row r="407">
      <c r="A407" s="16">
        <v>4970.0</v>
      </c>
      <c r="B407" s="6" t="s">
        <v>296</v>
      </c>
      <c r="C407" s="6" t="s">
        <v>489</v>
      </c>
      <c r="D407" s="6" t="s">
        <v>47</v>
      </c>
      <c r="E407" s="18">
        <f t="shared" si="1"/>
        <v>5</v>
      </c>
      <c r="F407" s="27">
        <v>0.008</v>
      </c>
      <c r="G407" s="11"/>
      <c r="H407" s="26"/>
      <c r="I407" s="24">
        <f t="shared" si="2"/>
        <v>8</v>
      </c>
      <c r="J407" s="25">
        <f t="shared" si="3"/>
        <v>3</v>
      </c>
    </row>
    <row r="408">
      <c r="A408" s="16">
        <v>2529.0</v>
      </c>
      <c r="B408" s="6" t="s">
        <v>296</v>
      </c>
      <c r="C408" s="6" t="s">
        <v>491</v>
      </c>
      <c r="D408" s="6" t="s">
        <v>19</v>
      </c>
      <c r="E408" s="18">
        <f t="shared" si="1"/>
        <v>5</v>
      </c>
      <c r="F408" s="27">
        <v>0.009</v>
      </c>
      <c r="G408" s="11"/>
      <c r="H408" s="26"/>
      <c r="I408" s="24">
        <f t="shared" si="2"/>
        <v>8</v>
      </c>
      <c r="J408" s="25">
        <f t="shared" si="3"/>
        <v>3</v>
      </c>
    </row>
    <row r="409">
      <c r="A409" s="16">
        <v>6005.0</v>
      </c>
      <c r="B409" s="6" t="s">
        <v>296</v>
      </c>
      <c r="C409" s="6" t="s">
        <v>495</v>
      </c>
      <c r="D409" s="6" t="s">
        <v>56</v>
      </c>
      <c r="E409" s="18">
        <f t="shared" si="1"/>
        <v>5</v>
      </c>
      <c r="F409" s="27">
        <v>0.008</v>
      </c>
      <c r="G409" s="11"/>
      <c r="H409" s="26"/>
      <c r="I409" s="24">
        <f t="shared" si="2"/>
        <v>8</v>
      </c>
      <c r="J409" s="25">
        <f t="shared" si="3"/>
        <v>3</v>
      </c>
    </row>
    <row r="410">
      <c r="A410" s="16">
        <v>1871.0</v>
      </c>
      <c r="B410" s="6" t="s">
        <v>296</v>
      </c>
      <c r="C410" s="6" t="s">
        <v>500</v>
      </c>
      <c r="D410" s="6" t="s">
        <v>43</v>
      </c>
      <c r="E410" s="18">
        <f t="shared" si="1"/>
        <v>5</v>
      </c>
      <c r="F410" s="27">
        <v>0.008</v>
      </c>
      <c r="G410" s="11"/>
      <c r="H410" s="26"/>
      <c r="I410" s="24">
        <f t="shared" si="2"/>
        <v>8</v>
      </c>
      <c r="J410" s="25">
        <f t="shared" si="3"/>
        <v>3</v>
      </c>
    </row>
    <row r="411">
      <c r="A411" s="16">
        <v>6917.0</v>
      </c>
      <c r="B411" s="6" t="s">
        <v>296</v>
      </c>
      <c r="C411" s="6" t="s">
        <v>503</v>
      </c>
      <c r="D411" s="6" t="s">
        <v>63</v>
      </c>
      <c r="E411" s="18">
        <f t="shared" si="1"/>
        <v>5</v>
      </c>
      <c r="F411" s="27">
        <v>0.008</v>
      </c>
      <c r="G411" s="11"/>
      <c r="H411" s="26"/>
      <c r="I411" s="24">
        <f t="shared" si="2"/>
        <v>8</v>
      </c>
      <c r="J411" s="25">
        <f t="shared" si="3"/>
        <v>3</v>
      </c>
    </row>
    <row r="412">
      <c r="A412" s="16">
        <v>801.0</v>
      </c>
      <c r="B412" s="6" t="s">
        <v>296</v>
      </c>
      <c r="C412" s="6" t="s">
        <v>506</v>
      </c>
      <c r="D412" s="6" t="s">
        <v>43</v>
      </c>
      <c r="E412" s="18">
        <f t="shared" si="1"/>
        <v>5</v>
      </c>
      <c r="F412" s="27">
        <v>0.008</v>
      </c>
      <c r="G412" s="11"/>
      <c r="H412" s="26"/>
      <c r="I412" s="24">
        <f t="shared" si="2"/>
        <v>8</v>
      </c>
      <c r="J412" s="25">
        <f t="shared" si="3"/>
        <v>3</v>
      </c>
    </row>
    <row r="413">
      <c r="A413" s="16">
        <v>7232.0</v>
      </c>
      <c r="B413" s="6" t="s">
        <v>296</v>
      </c>
      <c r="C413" s="6" t="s">
        <v>510</v>
      </c>
      <c r="D413" s="6" t="s">
        <v>54</v>
      </c>
      <c r="E413" s="18">
        <f t="shared" si="1"/>
        <v>5</v>
      </c>
      <c r="F413" s="27">
        <v>0.008</v>
      </c>
      <c r="G413" s="11"/>
      <c r="H413" s="26"/>
      <c r="I413" s="24">
        <f t="shared" si="2"/>
        <v>8</v>
      </c>
      <c r="J413" s="25">
        <f t="shared" si="3"/>
        <v>3</v>
      </c>
    </row>
    <row r="414">
      <c r="A414" s="16">
        <v>6640.0</v>
      </c>
      <c r="B414" s="6" t="s">
        <v>296</v>
      </c>
      <c r="C414" s="6" t="s">
        <v>514</v>
      </c>
      <c r="D414" s="6" t="s">
        <v>43</v>
      </c>
      <c r="E414" s="18">
        <f t="shared" si="1"/>
        <v>4</v>
      </c>
      <c r="F414" s="27">
        <v>0.007</v>
      </c>
      <c r="G414" s="11"/>
      <c r="H414" s="26"/>
      <c r="I414" s="24">
        <f t="shared" si="2"/>
        <v>8</v>
      </c>
      <c r="J414" s="25">
        <f t="shared" si="3"/>
        <v>3</v>
      </c>
    </row>
    <row r="415">
      <c r="A415" s="16">
        <v>6024.0</v>
      </c>
      <c r="B415" s="6" t="s">
        <v>296</v>
      </c>
      <c r="C415" s="6" t="s">
        <v>515</v>
      </c>
      <c r="D415" s="6" t="s">
        <v>59</v>
      </c>
      <c r="E415" s="18">
        <f t="shared" si="1"/>
        <v>4</v>
      </c>
      <c r="F415" s="27">
        <v>0.007</v>
      </c>
      <c r="G415" s="11"/>
      <c r="H415" s="26"/>
      <c r="I415" s="24">
        <f t="shared" si="2"/>
        <v>8</v>
      </c>
      <c r="J415" s="25">
        <f t="shared" si="3"/>
        <v>3</v>
      </c>
    </row>
    <row r="416">
      <c r="A416" s="16">
        <v>6241.0</v>
      </c>
      <c r="B416" s="6" t="s">
        <v>296</v>
      </c>
      <c r="C416" s="6" t="s">
        <v>516</v>
      </c>
      <c r="D416" s="6" t="s">
        <v>63</v>
      </c>
      <c r="E416" s="18">
        <f t="shared" si="1"/>
        <v>4</v>
      </c>
      <c r="F416" s="27">
        <v>0.006</v>
      </c>
      <c r="G416" s="11"/>
      <c r="H416" s="26"/>
      <c r="I416" s="24">
        <f t="shared" si="2"/>
        <v>8</v>
      </c>
      <c r="J416" s="25">
        <f t="shared" si="3"/>
        <v>3</v>
      </c>
    </row>
    <row r="417">
      <c r="A417" s="16">
        <v>6503.0</v>
      </c>
      <c r="B417" s="6" t="s">
        <v>296</v>
      </c>
      <c r="C417" s="6" t="s">
        <v>517</v>
      </c>
      <c r="D417" s="6" t="s">
        <v>19</v>
      </c>
      <c r="E417" s="18">
        <f t="shared" si="1"/>
        <v>4</v>
      </c>
      <c r="F417" s="27">
        <v>0.007</v>
      </c>
      <c r="G417" s="11"/>
      <c r="H417" s="26"/>
      <c r="I417" s="24">
        <f t="shared" si="2"/>
        <v>8</v>
      </c>
      <c r="J417" s="25">
        <f t="shared" si="3"/>
        <v>3</v>
      </c>
    </row>
    <row r="418">
      <c r="A418" s="16">
        <v>5457.0</v>
      </c>
      <c r="B418" s="6" t="s">
        <v>296</v>
      </c>
      <c r="C418" s="6" t="s">
        <v>518</v>
      </c>
      <c r="D418" s="6" t="s">
        <v>41</v>
      </c>
      <c r="E418" s="18">
        <f t="shared" si="1"/>
        <v>4</v>
      </c>
      <c r="F418" s="27">
        <v>0.007</v>
      </c>
      <c r="G418" s="11"/>
      <c r="H418" s="26"/>
      <c r="I418" s="24">
        <f t="shared" si="2"/>
        <v>8</v>
      </c>
      <c r="J418" s="25">
        <f t="shared" si="3"/>
        <v>3</v>
      </c>
    </row>
    <row r="419">
      <c r="A419" s="16">
        <v>5880.0</v>
      </c>
      <c r="B419" s="6" t="s">
        <v>296</v>
      </c>
      <c r="C419" s="6" t="s">
        <v>519</v>
      </c>
      <c r="D419" s="6" t="s">
        <v>52</v>
      </c>
      <c r="E419" s="18">
        <f t="shared" si="1"/>
        <v>4</v>
      </c>
      <c r="F419" s="27">
        <v>0.006</v>
      </c>
      <c r="G419" s="11"/>
      <c r="H419" s="26"/>
      <c r="I419" s="24">
        <f t="shared" si="2"/>
        <v>8</v>
      </c>
      <c r="J419" s="25">
        <f t="shared" si="3"/>
        <v>3</v>
      </c>
    </row>
    <row r="420">
      <c r="A420" s="16">
        <v>7418.0</v>
      </c>
      <c r="B420" s="6" t="s">
        <v>296</v>
      </c>
      <c r="C420" s="6" t="s">
        <v>520</v>
      </c>
      <c r="D420" s="6" t="s">
        <v>39</v>
      </c>
      <c r="E420" s="18">
        <f t="shared" si="1"/>
        <v>4</v>
      </c>
      <c r="F420" s="27">
        <v>0.006</v>
      </c>
      <c r="G420" s="11"/>
      <c r="H420" s="26"/>
      <c r="I420" s="24">
        <f t="shared" si="2"/>
        <v>8</v>
      </c>
      <c r="J420" s="25">
        <f t="shared" si="3"/>
        <v>3</v>
      </c>
    </row>
    <row r="421">
      <c r="A421" s="16">
        <v>7183.0</v>
      </c>
      <c r="B421" s="6" t="s">
        <v>296</v>
      </c>
      <c r="C421" s="6" t="s">
        <v>521</v>
      </c>
      <c r="D421" s="6" t="s">
        <v>56</v>
      </c>
      <c r="E421" s="18">
        <f t="shared" si="1"/>
        <v>3</v>
      </c>
      <c r="F421" s="27">
        <v>0.005</v>
      </c>
      <c r="G421" s="11"/>
      <c r="H421" s="26"/>
      <c r="I421" s="24">
        <f t="shared" si="2"/>
        <v>8</v>
      </c>
      <c r="J421" s="25">
        <f t="shared" si="3"/>
        <v>3</v>
      </c>
    </row>
    <row r="422">
      <c r="A422" s="16">
        <v>6903.0</v>
      </c>
      <c r="B422" s="6" t="s">
        <v>296</v>
      </c>
      <c r="C422" s="6" t="s">
        <v>522</v>
      </c>
      <c r="D422" s="6" t="s">
        <v>63</v>
      </c>
      <c r="E422" s="18">
        <f t="shared" si="1"/>
        <v>3</v>
      </c>
      <c r="F422" s="27">
        <v>0.005</v>
      </c>
      <c r="G422" s="11"/>
      <c r="H422" s="26"/>
      <c r="I422" s="24">
        <f t="shared" si="2"/>
        <v>8</v>
      </c>
      <c r="J422" s="25">
        <f t="shared" si="3"/>
        <v>3</v>
      </c>
    </row>
    <row r="423">
      <c r="A423" s="16">
        <v>6219.0</v>
      </c>
      <c r="B423" s="6" t="s">
        <v>296</v>
      </c>
      <c r="C423" s="6" t="s">
        <v>523</v>
      </c>
      <c r="D423" s="6" t="s">
        <v>59</v>
      </c>
      <c r="E423" s="18">
        <f t="shared" si="1"/>
        <v>3</v>
      </c>
      <c r="F423" s="27">
        <v>0.005</v>
      </c>
      <c r="G423" s="11"/>
      <c r="H423" s="26"/>
      <c r="I423" s="24">
        <f t="shared" si="2"/>
        <v>8</v>
      </c>
      <c r="J423" s="25">
        <f t="shared" si="3"/>
        <v>3</v>
      </c>
    </row>
    <row r="424">
      <c r="A424" s="16">
        <v>6246.0</v>
      </c>
      <c r="B424" s="6" t="s">
        <v>296</v>
      </c>
      <c r="C424" s="6" t="s">
        <v>524</v>
      </c>
      <c r="D424" s="6" t="s">
        <v>59</v>
      </c>
      <c r="E424" s="18">
        <f t="shared" si="1"/>
        <v>3</v>
      </c>
      <c r="F424" s="27">
        <v>0.005</v>
      </c>
      <c r="G424" s="11"/>
      <c r="H424" s="26"/>
      <c r="I424" s="24">
        <f t="shared" si="2"/>
        <v>8</v>
      </c>
      <c r="J424" s="25">
        <f t="shared" si="3"/>
        <v>3</v>
      </c>
    </row>
    <row r="425">
      <c r="A425" s="16">
        <v>7092.0</v>
      </c>
      <c r="B425" s="6" t="s">
        <v>296</v>
      </c>
      <c r="C425" s="6" t="s">
        <v>525</v>
      </c>
      <c r="D425" s="6" t="s">
        <v>39</v>
      </c>
      <c r="E425" s="18">
        <f t="shared" si="1"/>
        <v>3</v>
      </c>
      <c r="F425" s="27">
        <v>0.005</v>
      </c>
      <c r="G425" s="11"/>
      <c r="H425" s="26"/>
      <c r="I425" s="24">
        <f t="shared" si="2"/>
        <v>8</v>
      </c>
      <c r="J425" s="25">
        <f t="shared" si="3"/>
        <v>3</v>
      </c>
    </row>
    <row r="426">
      <c r="A426" s="16">
        <v>7345.0</v>
      </c>
      <c r="B426" s="6" t="s">
        <v>296</v>
      </c>
      <c r="C426" s="6" t="s">
        <v>526</v>
      </c>
      <c r="D426" s="6" t="s">
        <v>31</v>
      </c>
      <c r="E426" s="18">
        <f t="shared" si="1"/>
        <v>3</v>
      </c>
      <c r="F426" s="27">
        <v>0.005</v>
      </c>
      <c r="G426" s="11"/>
      <c r="H426" s="26"/>
      <c r="I426" s="24">
        <f t="shared" si="2"/>
        <v>8</v>
      </c>
      <c r="J426" s="25">
        <f t="shared" si="3"/>
        <v>3</v>
      </c>
    </row>
    <row r="427">
      <c r="A427" s="16">
        <v>7477.0</v>
      </c>
      <c r="B427" s="6" t="s">
        <v>296</v>
      </c>
      <c r="C427" s="6" t="s">
        <v>527</v>
      </c>
      <c r="D427" s="6" t="s">
        <v>52</v>
      </c>
      <c r="E427" s="18">
        <f t="shared" si="1"/>
        <v>2</v>
      </c>
      <c r="F427" s="27">
        <v>0.004</v>
      </c>
      <c r="G427" s="11"/>
      <c r="H427" s="26"/>
      <c r="I427" s="24">
        <f t="shared" si="2"/>
        <v>8</v>
      </c>
      <c r="J427" s="25">
        <f t="shared" si="3"/>
        <v>3</v>
      </c>
    </row>
    <row r="428">
      <c r="A428" s="16">
        <v>5872.0</v>
      </c>
      <c r="B428" s="6" t="s">
        <v>296</v>
      </c>
      <c r="C428" s="6" t="s">
        <v>528</v>
      </c>
      <c r="D428" s="6" t="s">
        <v>54</v>
      </c>
      <c r="E428" s="18">
        <f t="shared" si="1"/>
        <v>2</v>
      </c>
      <c r="F428" s="27">
        <v>0.003</v>
      </c>
      <c r="G428" s="11"/>
      <c r="H428" s="26"/>
      <c r="I428" s="24">
        <f t="shared" si="2"/>
        <v>8</v>
      </c>
      <c r="J428" s="25">
        <f t="shared" si="3"/>
        <v>3</v>
      </c>
    </row>
    <row r="429">
      <c r="A429" s="16">
        <v>6980.0</v>
      </c>
      <c r="B429" s="6" t="s">
        <v>296</v>
      </c>
      <c r="C429" s="6" t="s">
        <v>529</v>
      </c>
      <c r="D429" s="6" t="s">
        <v>47</v>
      </c>
      <c r="E429" s="18">
        <f t="shared" si="1"/>
        <v>2</v>
      </c>
      <c r="F429" s="27">
        <v>0.004</v>
      </c>
      <c r="G429" s="11"/>
      <c r="H429" s="26"/>
      <c r="I429" s="24">
        <f t="shared" si="2"/>
        <v>8</v>
      </c>
      <c r="J429" s="25">
        <f t="shared" si="3"/>
        <v>3</v>
      </c>
    </row>
    <row r="430">
      <c r="A430" s="16">
        <v>6191.0</v>
      </c>
      <c r="B430" s="6" t="s">
        <v>296</v>
      </c>
      <c r="C430" s="6" t="s">
        <v>530</v>
      </c>
      <c r="D430" s="6" t="s">
        <v>31</v>
      </c>
      <c r="E430" s="18">
        <f t="shared" si="1"/>
        <v>2</v>
      </c>
      <c r="F430" s="27">
        <v>0.003</v>
      </c>
      <c r="G430" s="11"/>
      <c r="H430" s="26"/>
      <c r="I430" s="24">
        <f t="shared" si="2"/>
        <v>8</v>
      </c>
      <c r="J430" s="25">
        <f t="shared" si="3"/>
        <v>3</v>
      </c>
    </row>
    <row r="431">
      <c r="A431" s="16">
        <v>7276.0</v>
      </c>
      <c r="B431" s="6" t="s">
        <v>296</v>
      </c>
      <c r="C431" s="6" t="s">
        <v>531</v>
      </c>
      <c r="D431" s="6" t="s">
        <v>50</v>
      </c>
      <c r="E431" s="18">
        <f t="shared" si="1"/>
        <v>2</v>
      </c>
      <c r="F431" s="27">
        <v>0.003</v>
      </c>
      <c r="G431" s="11"/>
      <c r="H431" s="26"/>
      <c r="I431" s="24">
        <f t="shared" si="2"/>
        <v>8</v>
      </c>
      <c r="J431" s="25">
        <f t="shared" si="3"/>
        <v>3</v>
      </c>
    </row>
    <row r="432">
      <c r="A432" s="16">
        <v>6212.0</v>
      </c>
      <c r="B432" s="6" t="s">
        <v>296</v>
      </c>
      <c r="C432" s="6" t="s">
        <v>532</v>
      </c>
      <c r="D432" s="6" t="s">
        <v>39</v>
      </c>
      <c r="E432" s="18">
        <f t="shared" si="1"/>
        <v>2</v>
      </c>
      <c r="F432" s="27">
        <v>0.004</v>
      </c>
      <c r="G432" s="11"/>
      <c r="H432" s="26"/>
      <c r="I432" s="24">
        <f t="shared" si="2"/>
        <v>8</v>
      </c>
      <c r="J432" s="25">
        <f t="shared" si="3"/>
        <v>3</v>
      </c>
    </row>
    <row r="433">
      <c r="A433" s="16">
        <v>526.0</v>
      </c>
      <c r="B433" s="6" t="s">
        <v>296</v>
      </c>
      <c r="C433" s="6" t="s">
        <v>533</v>
      </c>
      <c r="D433" s="6" t="s">
        <v>54</v>
      </c>
      <c r="E433" s="18">
        <f t="shared" si="1"/>
        <v>2</v>
      </c>
      <c r="F433" s="27">
        <v>0.004</v>
      </c>
      <c r="G433" s="11"/>
      <c r="H433" s="26"/>
      <c r="I433" s="24">
        <f t="shared" si="2"/>
        <v>8</v>
      </c>
      <c r="J433" s="25">
        <f t="shared" si="3"/>
        <v>3</v>
      </c>
    </row>
    <row r="434">
      <c r="A434" s="16">
        <v>5725.0</v>
      </c>
      <c r="B434" s="6" t="s">
        <v>296</v>
      </c>
      <c r="C434" s="6" t="s">
        <v>534</v>
      </c>
      <c r="D434" s="6" t="s">
        <v>63</v>
      </c>
      <c r="E434" s="18">
        <f t="shared" si="1"/>
        <v>2</v>
      </c>
      <c r="F434" s="27">
        <v>0.003</v>
      </c>
      <c r="G434" s="11"/>
      <c r="H434" s="26"/>
      <c r="I434" s="24">
        <f t="shared" si="2"/>
        <v>8</v>
      </c>
      <c r="J434" s="25">
        <f t="shared" si="3"/>
        <v>3</v>
      </c>
    </row>
    <row r="435">
      <c r="A435" s="16">
        <v>5761.0</v>
      </c>
      <c r="B435" s="6" t="s">
        <v>296</v>
      </c>
      <c r="C435" s="6" t="s">
        <v>535</v>
      </c>
      <c r="D435" s="6" t="s">
        <v>21</v>
      </c>
      <c r="E435" s="18">
        <f t="shared" si="1"/>
        <v>1</v>
      </c>
      <c r="F435" s="19">
        <v>0.002</v>
      </c>
      <c r="G435" s="21" t="s">
        <v>126</v>
      </c>
      <c r="H435" s="26"/>
      <c r="I435" s="24">
        <f t="shared" si="2"/>
        <v>5</v>
      </c>
      <c r="J435" s="25">
        <f t="shared" si="3"/>
        <v>3</v>
      </c>
    </row>
    <row r="436">
      <c r="A436" s="16">
        <v>6592.0</v>
      </c>
      <c r="B436" s="6" t="s">
        <v>296</v>
      </c>
      <c r="C436" s="6" t="s">
        <v>536</v>
      </c>
      <c r="D436" s="6" t="s">
        <v>52</v>
      </c>
      <c r="E436" s="18">
        <f t="shared" si="1"/>
        <v>1</v>
      </c>
      <c r="F436" s="27">
        <v>0.001</v>
      </c>
      <c r="G436" s="11"/>
      <c r="H436" s="26"/>
      <c r="I436" s="24">
        <f t="shared" si="2"/>
        <v>8</v>
      </c>
      <c r="J436" s="25">
        <f t="shared" si="3"/>
        <v>3</v>
      </c>
    </row>
    <row r="437">
      <c r="A437" s="16">
        <v>7574.0</v>
      </c>
      <c r="B437" s="6" t="s">
        <v>296</v>
      </c>
      <c r="C437" s="6" t="s">
        <v>537</v>
      </c>
      <c r="D437" s="6" t="s">
        <v>52</v>
      </c>
      <c r="E437" s="18">
        <f t="shared" si="1"/>
        <v>1</v>
      </c>
      <c r="F437" s="27">
        <v>0.002</v>
      </c>
      <c r="G437" s="11"/>
      <c r="H437" s="26"/>
      <c r="I437" s="24">
        <f t="shared" si="2"/>
        <v>8</v>
      </c>
      <c r="J437" s="25">
        <f t="shared" si="3"/>
        <v>3</v>
      </c>
    </row>
    <row r="438">
      <c r="A438" s="16">
        <v>7165.0</v>
      </c>
      <c r="B438" s="6" t="s">
        <v>296</v>
      </c>
      <c r="C438" s="6" t="s">
        <v>538</v>
      </c>
      <c r="D438" s="6" t="s">
        <v>43</v>
      </c>
      <c r="E438" s="18">
        <f t="shared" si="1"/>
        <v>1</v>
      </c>
      <c r="F438" s="27">
        <v>0.001</v>
      </c>
      <c r="G438" s="11"/>
      <c r="H438" s="26"/>
      <c r="I438" s="24">
        <f t="shared" si="2"/>
        <v>8</v>
      </c>
      <c r="J438" s="25">
        <f t="shared" si="3"/>
        <v>3</v>
      </c>
    </row>
    <row r="439">
      <c r="A439" s="16">
        <v>7357.0</v>
      </c>
      <c r="B439" s="6" t="s">
        <v>296</v>
      </c>
      <c r="C439" s="6" t="s">
        <v>539</v>
      </c>
      <c r="D439" s="6" t="s">
        <v>29</v>
      </c>
      <c r="E439" s="18">
        <f t="shared" si="1"/>
        <v>1</v>
      </c>
      <c r="F439" s="27">
        <v>0.001</v>
      </c>
      <c r="G439" s="11"/>
      <c r="H439" s="26"/>
      <c r="I439" s="24">
        <f t="shared" si="2"/>
        <v>8</v>
      </c>
      <c r="J439" s="25">
        <f t="shared" si="3"/>
        <v>3</v>
      </c>
    </row>
    <row r="440">
      <c r="A440" s="16">
        <v>7456.0</v>
      </c>
      <c r="B440" s="6" t="s">
        <v>296</v>
      </c>
      <c r="C440" s="6" t="s">
        <v>540</v>
      </c>
      <c r="D440" s="6" t="s">
        <v>63</v>
      </c>
      <c r="E440" s="18">
        <f t="shared" si="1"/>
        <v>1</v>
      </c>
      <c r="F440" s="27">
        <v>0.001</v>
      </c>
      <c r="G440" s="11"/>
      <c r="H440" s="26"/>
      <c r="I440" s="24">
        <f t="shared" si="2"/>
        <v>8</v>
      </c>
      <c r="J440" s="25">
        <f t="shared" si="3"/>
        <v>3</v>
      </c>
    </row>
    <row r="441">
      <c r="A441" s="16">
        <v>6410.0</v>
      </c>
      <c r="B441" s="6" t="s">
        <v>296</v>
      </c>
      <c r="C441" s="6" t="s">
        <v>541</v>
      </c>
      <c r="D441" s="6" t="s">
        <v>41</v>
      </c>
      <c r="E441" s="18">
        <f t="shared" si="1"/>
        <v>1</v>
      </c>
      <c r="F441" s="27">
        <v>0.002</v>
      </c>
      <c r="G441" s="11"/>
      <c r="H441" s="26"/>
      <c r="I441" s="24">
        <f t="shared" si="2"/>
        <v>8</v>
      </c>
      <c r="J441" s="25">
        <f t="shared" si="3"/>
        <v>3</v>
      </c>
    </row>
    <row r="442">
      <c r="A442" s="16">
        <v>7319.0</v>
      </c>
      <c r="B442" s="6" t="s">
        <v>296</v>
      </c>
      <c r="C442" s="6" t="s">
        <v>542</v>
      </c>
      <c r="D442" s="6" t="s">
        <v>41</v>
      </c>
      <c r="E442" s="18">
        <f t="shared" si="1"/>
        <v>1</v>
      </c>
      <c r="F442" s="27">
        <v>0.001</v>
      </c>
      <c r="G442" s="11"/>
      <c r="H442" s="26"/>
      <c r="I442" s="24">
        <f t="shared" si="2"/>
        <v>8</v>
      </c>
      <c r="J442" s="25">
        <f t="shared" si="3"/>
        <v>3</v>
      </c>
    </row>
    <row r="443">
      <c r="A443" s="16">
        <v>7481.0</v>
      </c>
      <c r="B443" s="6" t="s">
        <v>296</v>
      </c>
      <c r="C443" s="6" t="s">
        <v>543</v>
      </c>
      <c r="D443" s="6" t="s">
        <v>54</v>
      </c>
      <c r="E443" s="18">
        <f t="shared" si="1"/>
        <v>1</v>
      </c>
      <c r="F443" s="27">
        <v>0.001</v>
      </c>
      <c r="G443" s="11"/>
      <c r="H443" s="26"/>
      <c r="I443" s="24">
        <f t="shared" si="2"/>
        <v>8</v>
      </c>
      <c r="J443" s="25">
        <f t="shared" si="3"/>
        <v>3</v>
      </c>
    </row>
    <row r="444">
      <c r="A444" s="16">
        <v>7571.0</v>
      </c>
      <c r="B444" s="6" t="s">
        <v>296</v>
      </c>
      <c r="C444" s="6" t="s">
        <v>544</v>
      </c>
      <c r="D444" s="6" t="s">
        <v>41</v>
      </c>
      <c r="E444" s="18">
        <f t="shared" si="1"/>
        <v>1</v>
      </c>
      <c r="F444" s="27">
        <v>0.001</v>
      </c>
      <c r="G444" s="11"/>
      <c r="H444" s="26"/>
      <c r="I444" s="24">
        <f t="shared" si="2"/>
        <v>8</v>
      </c>
      <c r="J444" s="25">
        <f t="shared" si="3"/>
        <v>3</v>
      </c>
    </row>
    <row r="445">
      <c r="A445" s="16">
        <v>7572.0</v>
      </c>
      <c r="B445" s="6" t="s">
        <v>296</v>
      </c>
      <c r="C445" s="6" t="s">
        <v>545</v>
      </c>
      <c r="D445" s="6" t="s">
        <v>23</v>
      </c>
      <c r="E445" s="18">
        <f t="shared" si="1"/>
        <v>1</v>
      </c>
      <c r="F445" s="27">
        <v>0.001</v>
      </c>
      <c r="G445" s="11"/>
      <c r="H445" s="26"/>
      <c r="I445" s="24">
        <f t="shared" si="2"/>
        <v>8</v>
      </c>
      <c r="J445" s="25">
        <f t="shared" si="3"/>
        <v>3</v>
      </c>
    </row>
    <row r="446">
      <c r="A446" s="16">
        <v>5462.0</v>
      </c>
      <c r="B446" s="6" t="s">
        <v>296</v>
      </c>
      <c r="C446" s="6" t="s">
        <v>546</v>
      </c>
      <c r="D446" s="6" t="s">
        <v>43</v>
      </c>
      <c r="E446" s="18">
        <f t="shared" si="1"/>
        <v>1</v>
      </c>
      <c r="F446" s="27">
        <v>0.001</v>
      </c>
      <c r="G446" s="11"/>
      <c r="H446" s="26"/>
      <c r="I446" s="24">
        <f t="shared" si="2"/>
        <v>8</v>
      </c>
      <c r="J446" s="25">
        <f t="shared" si="3"/>
        <v>3</v>
      </c>
    </row>
    <row r="447">
      <c r="A447" s="16">
        <v>7628.0</v>
      </c>
      <c r="B447" s="6" t="s">
        <v>296</v>
      </c>
      <c r="C447" s="6" t="s">
        <v>547</v>
      </c>
      <c r="D447" s="6" t="s">
        <v>50</v>
      </c>
      <c r="E447" s="18">
        <f t="shared" si="1"/>
        <v>1</v>
      </c>
      <c r="F447" s="27">
        <v>0.001</v>
      </c>
      <c r="G447" s="11"/>
      <c r="H447" s="26"/>
      <c r="I447" s="24">
        <f t="shared" si="2"/>
        <v>8</v>
      </c>
      <c r="J447" s="25">
        <f t="shared" si="3"/>
        <v>3</v>
      </c>
    </row>
    <row r="448">
      <c r="A448" s="58">
        <v>5585.0</v>
      </c>
      <c r="B448" s="6" t="s">
        <v>446</v>
      </c>
      <c r="C448" s="6" t="s">
        <v>548</v>
      </c>
      <c r="D448" s="6" t="s">
        <v>16</v>
      </c>
      <c r="E448" s="18">
        <f t="shared" si="1"/>
        <v>240</v>
      </c>
      <c r="F448" s="19">
        <v>0.4</v>
      </c>
      <c r="G448" s="21" t="s">
        <v>17</v>
      </c>
      <c r="H448" s="26"/>
      <c r="I448" s="24">
        <f t="shared" si="2"/>
        <v>1</v>
      </c>
      <c r="J448" s="25">
        <f t="shared" si="3"/>
        <v>4</v>
      </c>
    </row>
    <row r="449">
      <c r="A449" s="16">
        <v>2764.0</v>
      </c>
      <c r="B449" s="6" t="s">
        <v>446</v>
      </c>
      <c r="C449" s="6" t="s">
        <v>549</v>
      </c>
      <c r="D449" s="6" t="s">
        <v>19</v>
      </c>
      <c r="E449" s="18">
        <f t="shared" si="1"/>
        <v>210</v>
      </c>
      <c r="F449" s="19">
        <v>0.35</v>
      </c>
      <c r="G449" s="21" t="s">
        <v>17</v>
      </c>
      <c r="H449" s="26"/>
      <c r="I449" s="24">
        <f t="shared" si="2"/>
        <v>1</v>
      </c>
      <c r="J449" s="25">
        <f t="shared" si="3"/>
        <v>4</v>
      </c>
    </row>
    <row r="450">
      <c r="A450" s="16">
        <v>6052.0</v>
      </c>
      <c r="B450" s="6" t="s">
        <v>446</v>
      </c>
      <c r="C450" s="6" t="s">
        <v>550</v>
      </c>
      <c r="D450" s="6" t="s">
        <v>27</v>
      </c>
      <c r="E450" s="18">
        <f t="shared" si="1"/>
        <v>150</v>
      </c>
      <c r="F450" s="19">
        <v>0.25</v>
      </c>
      <c r="G450" s="21" t="s">
        <v>32</v>
      </c>
      <c r="H450" s="26"/>
      <c r="I450" s="24">
        <f t="shared" si="2"/>
        <v>2</v>
      </c>
      <c r="J450" s="25">
        <f t="shared" si="3"/>
        <v>4</v>
      </c>
    </row>
    <row r="451">
      <c r="A451" s="16">
        <v>4871.0</v>
      </c>
      <c r="B451" s="6" t="s">
        <v>446</v>
      </c>
      <c r="C451" s="6" t="s">
        <v>551</v>
      </c>
      <c r="D451" s="6" t="s">
        <v>19</v>
      </c>
      <c r="E451" s="18">
        <f t="shared" si="1"/>
        <v>144</v>
      </c>
      <c r="F451" s="19">
        <v>0.24</v>
      </c>
      <c r="G451" s="21" t="s">
        <v>32</v>
      </c>
      <c r="H451" s="26"/>
      <c r="I451" s="24">
        <f t="shared" si="2"/>
        <v>2</v>
      </c>
      <c r="J451" s="25">
        <f t="shared" si="3"/>
        <v>4</v>
      </c>
    </row>
    <row r="452">
      <c r="A452" s="16">
        <v>6397.0</v>
      </c>
      <c r="B452" s="6" t="s">
        <v>446</v>
      </c>
      <c r="C452" s="6" t="s">
        <v>552</v>
      </c>
      <c r="D452" s="6" t="s">
        <v>23</v>
      </c>
      <c r="E452" s="18">
        <f t="shared" si="1"/>
        <v>144</v>
      </c>
      <c r="F452" s="19">
        <v>0.24</v>
      </c>
      <c r="G452" s="21" t="s">
        <v>32</v>
      </c>
      <c r="H452" s="26"/>
      <c r="I452" s="24">
        <f t="shared" si="2"/>
        <v>2</v>
      </c>
      <c r="J452" s="25">
        <f t="shared" si="3"/>
        <v>4</v>
      </c>
    </row>
    <row r="453">
      <c r="A453" s="16">
        <v>7017.0</v>
      </c>
      <c r="B453" s="6" t="s">
        <v>446</v>
      </c>
      <c r="C453" s="6" t="s">
        <v>553</v>
      </c>
      <c r="D453" s="6" t="s">
        <v>29</v>
      </c>
      <c r="E453" s="18">
        <f t="shared" si="1"/>
        <v>90</v>
      </c>
      <c r="F453" s="19">
        <v>0.15</v>
      </c>
      <c r="G453" s="21" t="s">
        <v>45</v>
      </c>
      <c r="H453" s="26"/>
      <c r="I453" s="24">
        <f t="shared" si="2"/>
        <v>3</v>
      </c>
      <c r="J453" s="25">
        <f t="shared" si="3"/>
        <v>4</v>
      </c>
    </row>
    <row r="454">
      <c r="A454" s="16">
        <v>2097.0</v>
      </c>
      <c r="B454" s="6" t="s">
        <v>446</v>
      </c>
      <c r="C454" s="6" t="s">
        <v>554</v>
      </c>
      <c r="D454" s="6" t="s">
        <v>29</v>
      </c>
      <c r="E454" s="18">
        <f t="shared" si="1"/>
        <v>110</v>
      </c>
      <c r="F454" s="27">
        <v>0.183</v>
      </c>
      <c r="G454" s="21" t="s">
        <v>32</v>
      </c>
      <c r="H454" s="26"/>
      <c r="I454" s="24">
        <f t="shared" si="2"/>
        <v>2</v>
      </c>
      <c r="J454" s="25">
        <f t="shared" si="3"/>
        <v>4</v>
      </c>
    </row>
    <row r="455">
      <c r="A455" s="16">
        <v>5951.0</v>
      </c>
      <c r="B455" s="6" t="s">
        <v>446</v>
      </c>
      <c r="C455" s="6" t="s">
        <v>555</v>
      </c>
      <c r="D455" s="6" t="s">
        <v>21</v>
      </c>
      <c r="E455" s="18">
        <f t="shared" si="1"/>
        <v>144</v>
      </c>
      <c r="F455" s="19">
        <v>0.24</v>
      </c>
      <c r="G455" s="21" t="s">
        <v>32</v>
      </c>
      <c r="H455" s="22" t="s">
        <v>33</v>
      </c>
      <c r="I455" s="24">
        <f t="shared" si="2"/>
        <v>2</v>
      </c>
      <c r="J455" s="25">
        <f t="shared" si="3"/>
        <v>4</v>
      </c>
    </row>
    <row r="456">
      <c r="A456" s="16">
        <v>6752.0</v>
      </c>
      <c r="B456" s="6" t="s">
        <v>446</v>
      </c>
      <c r="C456" s="6" t="s">
        <v>556</v>
      </c>
      <c r="D456" s="6" t="s">
        <v>21</v>
      </c>
      <c r="E456" s="18">
        <f t="shared" si="1"/>
        <v>60</v>
      </c>
      <c r="F456" s="19">
        <v>0.1</v>
      </c>
      <c r="G456" s="21" t="s">
        <v>45</v>
      </c>
      <c r="H456" s="26"/>
      <c r="I456" s="24">
        <f t="shared" si="2"/>
        <v>3</v>
      </c>
      <c r="J456" s="25">
        <f t="shared" si="3"/>
        <v>4</v>
      </c>
    </row>
    <row r="457">
      <c r="A457" s="16">
        <v>2137.0</v>
      </c>
      <c r="B457" s="6" t="s">
        <v>446</v>
      </c>
      <c r="C457" s="6" t="s">
        <v>557</v>
      </c>
      <c r="D457" s="6" t="s">
        <v>25</v>
      </c>
      <c r="E457" s="18">
        <f t="shared" si="1"/>
        <v>72</v>
      </c>
      <c r="F457" s="19">
        <v>0.12</v>
      </c>
      <c r="G457" s="21" t="s">
        <v>45</v>
      </c>
      <c r="H457" s="26"/>
      <c r="I457" s="24">
        <f t="shared" si="2"/>
        <v>3</v>
      </c>
      <c r="J457" s="25">
        <f t="shared" si="3"/>
        <v>4</v>
      </c>
    </row>
    <row r="458">
      <c r="A458" s="16">
        <v>5637.0</v>
      </c>
      <c r="B458" s="6" t="s">
        <v>446</v>
      </c>
      <c r="C458" s="6" t="s">
        <v>558</v>
      </c>
      <c r="D458" s="6" t="s">
        <v>39</v>
      </c>
      <c r="E458" s="18">
        <f t="shared" si="1"/>
        <v>90</v>
      </c>
      <c r="F458" s="19">
        <v>0.15</v>
      </c>
      <c r="G458" s="21" t="s">
        <v>32</v>
      </c>
      <c r="H458" s="26"/>
      <c r="I458" s="24">
        <f t="shared" si="2"/>
        <v>2</v>
      </c>
      <c r="J458" s="25">
        <f t="shared" si="3"/>
        <v>4</v>
      </c>
    </row>
    <row r="459">
      <c r="A459" s="16">
        <v>531.0</v>
      </c>
      <c r="B459" s="6" t="s">
        <v>446</v>
      </c>
      <c r="C459" s="6" t="s">
        <v>559</v>
      </c>
      <c r="D459" s="6" t="s">
        <v>59</v>
      </c>
      <c r="E459" s="18">
        <f t="shared" si="1"/>
        <v>60</v>
      </c>
      <c r="F459" s="19">
        <v>0.1</v>
      </c>
      <c r="G459" s="21" t="s">
        <v>45</v>
      </c>
      <c r="H459" s="26"/>
      <c r="I459" s="24">
        <f t="shared" si="2"/>
        <v>3</v>
      </c>
      <c r="J459" s="25">
        <f t="shared" si="3"/>
        <v>4</v>
      </c>
    </row>
    <row r="460">
      <c r="A460" s="16">
        <v>7071.0</v>
      </c>
      <c r="B460" s="6" t="s">
        <v>446</v>
      </c>
      <c r="C460" s="6" t="s">
        <v>560</v>
      </c>
      <c r="D460" s="6" t="s">
        <v>19</v>
      </c>
      <c r="E460" s="18">
        <f t="shared" si="1"/>
        <v>72</v>
      </c>
      <c r="F460" s="19">
        <v>0.12</v>
      </c>
      <c r="G460" s="21" t="s">
        <v>45</v>
      </c>
      <c r="H460" s="26"/>
      <c r="I460" s="24">
        <f t="shared" si="2"/>
        <v>3</v>
      </c>
      <c r="J460" s="25">
        <f t="shared" si="3"/>
        <v>4</v>
      </c>
    </row>
    <row r="461">
      <c r="A461" s="16">
        <v>6434.0</v>
      </c>
      <c r="B461" s="6" t="s">
        <v>446</v>
      </c>
      <c r="C461" s="6" t="s">
        <v>561</v>
      </c>
      <c r="D461" s="6" t="s">
        <v>21</v>
      </c>
      <c r="E461" s="18">
        <f t="shared" si="1"/>
        <v>36</v>
      </c>
      <c r="F461" s="19">
        <v>0.06</v>
      </c>
      <c r="G461" s="21" t="s">
        <v>145</v>
      </c>
      <c r="H461" s="26"/>
      <c r="I461" s="24">
        <f t="shared" si="2"/>
        <v>4</v>
      </c>
      <c r="J461" s="25">
        <f t="shared" si="3"/>
        <v>4</v>
      </c>
    </row>
    <row r="462">
      <c r="A462" s="16">
        <v>309.0</v>
      </c>
      <c r="B462" s="6" t="s">
        <v>446</v>
      </c>
      <c r="C462" s="6" t="s">
        <v>562</v>
      </c>
      <c r="D462" s="6" t="s">
        <v>16</v>
      </c>
      <c r="E462" s="18">
        <f t="shared" si="1"/>
        <v>84</v>
      </c>
      <c r="F462" s="19">
        <v>0.14</v>
      </c>
      <c r="G462" s="21" t="s">
        <v>45</v>
      </c>
      <c r="H462" s="26"/>
      <c r="I462" s="24">
        <f t="shared" si="2"/>
        <v>3</v>
      </c>
      <c r="J462" s="25">
        <f t="shared" si="3"/>
        <v>4</v>
      </c>
    </row>
    <row r="463">
      <c r="A463" s="16">
        <v>6435.0</v>
      </c>
      <c r="B463" s="6" t="s">
        <v>446</v>
      </c>
      <c r="C463" s="6" t="s">
        <v>563</v>
      </c>
      <c r="D463" s="6" t="s">
        <v>25</v>
      </c>
      <c r="E463" s="18">
        <f t="shared" si="1"/>
        <v>60</v>
      </c>
      <c r="F463" s="19">
        <v>0.1</v>
      </c>
      <c r="G463" s="21" t="s">
        <v>45</v>
      </c>
      <c r="H463" s="26"/>
      <c r="I463" s="24">
        <f t="shared" si="2"/>
        <v>3</v>
      </c>
      <c r="J463" s="25">
        <f t="shared" si="3"/>
        <v>4</v>
      </c>
    </row>
    <row r="464">
      <c r="A464" s="16">
        <v>5995.0</v>
      </c>
      <c r="B464" s="6" t="s">
        <v>446</v>
      </c>
      <c r="C464" s="6" t="s">
        <v>564</v>
      </c>
      <c r="D464" s="6" t="s">
        <v>25</v>
      </c>
      <c r="E464" s="18">
        <f t="shared" si="1"/>
        <v>36</v>
      </c>
      <c r="F464" s="19">
        <v>0.06</v>
      </c>
      <c r="G464" s="21" t="s">
        <v>145</v>
      </c>
      <c r="H464" s="26"/>
      <c r="I464" s="24">
        <f t="shared" si="2"/>
        <v>4</v>
      </c>
      <c r="J464" s="25">
        <f t="shared" si="3"/>
        <v>4</v>
      </c>
    </row>
    <row r="465">
      <c r="A465" s="16">
        <v>6060.0</v>
      </c>
      <c r="B465" s="6" t="s">
        <v>446</v>
      </c>
      <c r="C465" s="6" t="s">
        <v>565</v>
      </c>
      <c r="D465" s="6" t="s">
        <v>59</v>
      </c>
      <c r="E465" s="18">
        <f t="shared" si="1"/>
        <v>36</v>
      </c>
      <c r="F465" s="19">
        <v>0.06</v>
      </c>
      <c r="G465" s="21" t="s">
        <v>145</v>
      </c>
      <c r="H465" s="26"/>
      <c r="I465" s="24">
        <f t="shared" si="2"/>
        <v>4</v>
      </c>
      <c r="J465" s="25">
        <f t="shared" si="3"/>
        <v>4</v>
      </c>
    </row>
    <row r="466">
      <c r="A466" s="16">
        <v>2061.0</v>
      </c>
      <c r="B466" s="6" t="s">
        <v>446</v>
      </c>
      <c r="C466" s="6" t="s">
        <v>566</v>
      </c>
      <c r="D466" s="6" t="s">
        <v>56</v>
      </c>
      <c r="E466" s="18">
        <f t="shared" si="1"/>
        <v>60</v>
      </c>
      <c r="F466" s="19">
        <v>0.1</v>
      </c>
      <c r="G466" s="21" t="s">
        <v>45</v>
      </c>
      <c r="H466" s="26"/>
      <c r="I466" s="24">
        <f t="shared" si="2"/>
        <v>3</v>
      </c>
      <c r="J466" s="25">
        <f t="shared" si="3"/>
        <v>4</v>
      </c>
    </row>
    <row r="467">
      <c r="A467" s="16">
        <v>4371.0</v>
      </c>
      <c r="B467" s="6" t="s">
        <v>446</v>
      </c>
      <c r="C467" s="6" t="s">
        <v>567</v>
      </c>
      <c r="D467" s="6" t="s">
        <v>25</v>
      </c>
      <c r="E467" s="18">
        <f t="shared" si="1"/>
        <v>42</v>
      </c>
      <c r="F467" s="19">
        <v>0.07</v>
      </c>
      <c r="G467" s="21" t="s">
        <v>145</v>
      </c>
      <c r="H467" s="26"/>
      <c r="I467" s="24">
        <f t="shared" si="2"/>
        <v>4</v>
      </c>
      <c r="J467" s="25">
        <f t="shared" si="3"/>
        <v>4</v>
      </c>
    </row>
    <row r="468">
      <c r="A468" s="16">
        <v>6572.0</v>
      </c>
      <c r="B468" s="6" t="s">
        <v>446</v>
      </c>
      <c r="C468" s="6" t="s">
        <v>568</v>
      </c>
      <c r="D468" s="6" t="s">
        <v>16</v>
      </c>
      <c r="E468" s="18">
        <f t="shared" si="1"/>
        <v>42</v>
      </c>
      <c r="F468" s="27">
        <v>0.07</v>
      </c>
      <c r="G468" s="21" t="s">
        <v>45</v>
      </c>
      <c r="H468" s="22" t="s">
        <v>33</v>
      </c>
      <c r="I468" s="24">
        <f t="shared" si="2"/>
        <v>3</v>
      </c>
      <c r="J468" s="25">
        <f t="shared" si="3"/>
        <v>4</v>
      </c>
    </row>
    <row r="469">
      <c r="A469" s="16">
        <v>7351.0</v>
      </c>
      <c r="B469" s="6" t="s">
        <v>446</v>
      </c>
      <c r="C469" s="6" t="s">
        <v>569</v>
      </c>
      <c r="D469" s="6" t="s">
        <v>27</v>
      </c>
      <c r="E469" s="18">
        <f t="shared" si="1"/>
        <v>30</v>
      </c>
      <c r="F469" s="19">
        <v>0.05</v>
      </c>
      <c r="G469" s="21" t="s">
        <v>145</v>
      </c>
      <c r="H469" s="26"/>
      <c r="I469" s="24">
        <f t="shared" si="2"/>
        <v>4</v>
      </c>
      <c r="J469" s="25">
        <f t="shared" si="3"/>
        <v>4</v>
      </c>
    </row>
    <row r="470">
      <c r="A470" s="16">
        <v>2038.0</v>
      </c>
      <c r="B470" s="6" t="s">
        <v>446</v>
      </c>
      <c r="C470" s="6" t="s">
        <v>570</v>
      </c>
      <c r="D470" s="6" t="s">
        <v>31</v>
      </c>
      <c r="E470" s="18">
        <f t="shared" si="1"/>
        <v>48</v>
      </c>
      <c r="F470" s="19">
        <v>0.08</v>
      </c>
      <c r="G470" s="21" t="s">
        <v>45</v>
      </c>
      <c r="H470" s="26"/>
      <c r="I470" s="24">
        <f t="shared" si="2"/>
        <v>3</v>
      </c>
      <c r="J470" s="25">
        <f t="shared" si="3"/>
        <v>4</v>
      </c>
    </row>
    <row r="471">
      <c r="A471" s="16">
        <v>6675.0</v>
      </c>
      <c r="B471" s="6" t="s">
        <v>446</v>
      </c>
      <c r="C471" s="6" t="s">
        <v>571</v>
      </c>
      <c r="D471" s="6" t="s">
        <v>37</v>
      </c>
      <c r="E471" s="18">
        <f t="shared" si="1"/>
        <v>12</v>
      </c>
      <c r="F471" s="19">
        <v>0.02</v>
      </c>
      <c r="G471" s="11"/>
      <c r="H471" s="26"/>
      <c r="I471" s="24">
        <f t="shared" si="2"/>
        <v>8</v>
      </c>
      <c r="J471" s="25">
        <f t="shared" si="3"/>
        <v>4</v>
      </c>
    </row>
    <row r="472">
      <c r="A472" s="16">
        <v>4923.0</v>
      </c>
      <c r="B472" s="6" t="s">
        <v>446</v>
      </c>
      <c r="C472" s="6" t="s">
        <v>572</v>
      </c>
      <c r="D472" s="6" t="s">
        <v>47</v>
      </c>
      <c r="E472" s="18">
        <f t="shared" si="1"/>
        <v>30</v>
      </c>
      <c r="F472" s="19">
        <v>0.05</v>
      </c>
      <c r="G472" s="21" t="s">
        <v>145</v>
      </c>
      <c r="H472" s="26"/>
      <c r="I472" s="24">
        <f t="shared" si="2"/>
        <v>4</v>
      </c>
      <c r="J472" s="25">
        <f t="shared" si="3"/>
        <v>4</v>
      </c>
    </row>
    <row r="473">
      <c r="A473" s="16">
        <v>5694.0</v>
      </c>
      <c r="B473" s="6" t="s">
        <v>446</v>
      </c>
      <c r="C473" s="6" t="s">
        <v>573</v>
      </c>
      <c r="D473" s="6" t="s">
        <v>35</v>
      </c>
      <c r="E473" s="18">
        <f t="shared" si="1"/>
        <v>60</v>
      </c>
      <c r="F473" s="19">
        <v>0.1</v>
      </c>
      <c r="G473" s="21" t="s">
        <v>45</v>
      </c>
      <c r="H473" s="26"/>
      <c r="I473" s="24">
        <f t="shared" si="2"/>
        <v>3</v>
      </c>
      <c r="J473" s="25">
        <f t="shared" si="3"/>
        <v>4</v>
      </c>
    </row>
    <row r="474">
      <c r="A474" s="16">
        <v>6967.0</v>
      </c>
      <c r="B474" s="6" t="s">
        <v>446</v>
      </c>
      <c r="C474" s="6" t="s">
        <v>574</v>
      </c>
      <c r="D474" s="6" t="s">
        <v>29</v>
      </c>
      <c r="E474" s="18">
        <f t="shared" si="1"/>
        <v>30</v>
      </c>
      <c r="F474" s="27">
        <v>0.05</v>
      </c>
      <c r="G474" s="11"/>
      <c r="H474" s="26"/>
      <c r="I474" s="24">
        <f t="shared" si="2"/>
        <v>8</v>
      </c>
      <c r="J474" s="25">
        <f t="shared" si="3"/>
        <v>4</v>
      </c>
    </row>
    <row r="475">
      <c r="A475" s="16">
        <v>5734.0</v>
      </c>
      <c r="B475" s="6" t="s">
        <v>446</v>
      </c>
      <c r="C475" s="6" t="s">
        <v>575</v>
      </c>
      <c r="D475" s="6" t="s">
        <v>16</v>
      </c>
      <c r="E475" s="18">
        <f t="shared" si="1"/>
        <v>18</v>
      </c>
      <c r="F475" s="19">
        <v>0.03</v>
      </c>
      <c r="G475" s="21" t="s">
        <v>145</v>
      </c>
      <c r="H475" s="26"/>
      <c r="I475" s="24">
        <f t="shared" si="2"/>
        <v>4</v>
      </c>
      <c r="J475" s="25">
        <f t="shared" si="3"/>
        <v>4</v>
      </c>
    </row>
    <row r="476">
      <c r="A476" s="16">
        <v>7023.0</v>
      </c>
      <c r="B476" s="6" t="s">
        <v>446</v>
      </c>
      <c r="C476" s="6" t="s">
        <v>576</v>
      </c>
      <c r="D476" s="6" t="s">
        <v>35</v>
      </c>
      <c r="E476" s="18">
        <f t="shared" si="1"/>
        <v>18</v>
      </c>
      <c r="F476" s="19">
        <v>0.03</v>
      </c>
      <c r="G476" s="21" t="s">
        <v>145</v>
      </c>
      <c r="H476" s="26"/>
      <c r="I476" s="24">
        <f t="shared" si="2"/>
        <v>4</v>
      </c>
      <c r="J476" s="25">
        <f t="shared" si="3"/>
        <v>4</v>
      </c>
    </row>
    <row r="477">
      <c r="A477" s="16">
        <v>4463.0</v>
      </c>
      <c r="B477" s="6" t="s">
        <v>446</v>
      </c>
      <c r="C477" s="6" t="s">
        <v>577</v>
      </c>
      <c r="D477" s="6" t="s">
        <v>59</v>
      </c>
      <c r="E477" s="18">
        <f t="shared" si="1"/>
        <v>12</v>
      </c>
      <c r="F477" s="19">
        <v>0.02</v>
      </c>
      <c r="G477" s="11"/>
      <c r="H477" s="26"/>
      <c r="I477" s="24">
        <f t="shared" si="2"/>
        <v>8</v>
      </c>
      <c r="J477" s="25">
        <f t="shared" si="3"/>
        <v>4</v>
      </c>
    </row>
    <row r="478">
      <c r="A478" s="16">
        <v>7523.0</v>
      </c>
      <c r="B478" s="6" t="s">
        <v>446</v>
      </c>
      <c r="C478" s="6" t="s">
        <v>578</v>
      </c>
      <c r="D478" s="6" t="s">
        <v>52</v>
      </c>
      <c r="E478" s="18">
        <f t="shared" si="1"/>
        <v>6</v>
      </c>
      <c r="F478" s="19">
        <v>0.01</v>
      </c>
      <c r="G478" s="21" t="s">
        <v>126</v>
      </c>
      <c r="H478" s="26"/>
      <c r="I478" s="24">
        <f t="shared" si="2"/>
        <v>5</v>
      </c>
      <c r="J478" s="25">
        <f t="shared" si="3"/>
        <v>4</v>
      </c>
    </row>
    <row r="479">
      <c r="A479" s="16">
        <v>7547.0</v>
      </c>
      <c r="B479" s="6" t="s">
        <v>446</v>
      </c>
      <c r="C479" s="6" t="s">
        <v>579</v>
      </c>
      <c r="D479" s="6" t="s">
        <v>43</v>
      </c>
      <c r="E479" s="18">
        <f t="shared" si="1"/>
        <v>22</v>
      </c>
      <c r="F479" s="27">
        <v>0.036</v>
      </c>
      <c r="G479" s="11"/>
      <c r="H479" s="26"/>
      <c r="I479" s="24">
        <f t="shared" si="2"/>
        <v>8</v>
      </c>
      <c r="J479" s="25">
        <f t="shared" si="3"/>
        <v>4</v>
      </c>
    </row>
    <row r="480">
      <c r="A480" s="16">
        <v>6229.0</v>
      </c>
      <c r="B480" s="6" t="s">
        <v>446</v>
      </c>
      <c r="C480" s="6" t="s">
        <v>580</v>
      </c>
      <c r="D480" s="6" t="s">
        <v>50</v>
      </c>
      <c r="E480" s="18">
        <f t="shared" si="1"/>
        <v>6</v>
      </c>
      <c r="F480" s="19">
        <v>0.01</v>
      </c>
      <c r="G480" s="21" t="s">
        <v>126</v>
      </c>
      <c r="H480" s="26"/>
      <c r="I480" s="24">
        <f t="shared" si="2"/>
        <v>5</v>
      </c>
      <c r="J480" s="25">
        <f t="shared" si="3"/>
        <v>4</v>
      </c>
    </row>
    <row r="481">
      <c r="A481" s="16">
        <v>7554.0</v>
      </c>
      <c r="B481" s="6" t="s">
        <v>446</v>
      </c>
      <c r="C481" s="6" t="s">
        <v>581</v>
      </c>
      <c r="D481" s="6" t="s">
        <v>50</v>
      </c>
      <c r="E481" s="18">
        <f t="shared" si="1"/>
        <v>22</v>
      </c>
      <c r="F481" s="27">
        <v>0.037</v>
      </c>
      <c r="G481" s="11"/>
      <c r="H481" s="26"/>
      <c r="I481" s="24">
        <f t="shared" si="2"/>
        <v>8</v>
      </c>
      <c r="J481" s="25">
        <f t="shared" si="3"/>
        <v>4</v>
      </c>
    </row>
    <row r="482">
      <c r="A482" s="16">
        <v>7484.0</v>
      </c>
      <c r="B482" s="6" t="s">
        <v>446</v>
      </c>
      <c r="C482" s="6" t="s">
        <v>582</v>
      </c>
      <c r="D482" s="6" t="s">
        <v>54</v>
      </c>
      <c r="E482" s="18">
        <f t="shared" si="1"/>
        <v>21</v>
      </c>
      <c r="F482" s="27">
        <v>0.035</v>
      </c>
      <c r="G482" s="11"/>
      <c r="H482" s="26"/>
      <c r="I482" s="24">
        <f t="shared" si="2"/>
        <v>8</v>
      </c>
      <c r="J482" s="25">
        <f t="shared" si="3"/>
        <v>4</v>
      </c>
    </row>
    <row r="483">
      <c r="A483" s="16">
        <v>6646.0</v>
      </c>
      <c r="B483" s="6" t="s">
        <v>446</v>
      </c>
      <c r="C483" s="6" t="s">
        <v>583</v>
      </c>
      <c r="D483" s="6" t="s">
        <v>56</v>
      </c>
      <c r="E483" s="18">
        <f t="shared" si="1"/>
        <v>12</v>
      </c>
      <c r="F483" s="19">
        <v>0.02</v>
      </c>
      <c r="G483" s="21" t="s">
        <v>126</v>
      </c>
      <c r="H483" s="26"/>
      <c r="I483" s="24">
        <f t="shared" si="2"/>
        <v>5</v>
      </c>
      <c r="J483" s="25">
        <f t="shared" si="3"/>
        <v>4</v>
      </c>
    </row>
    <row r="484">
      <c r="A484" s="16">
        <v>7347.0</v>
      </c>
      <c r="B484" s="6" t="s">
        <v>446</v>
      </c>
      <c r="C484" s="6" t="s">
        <v>584</v>
      </c>
      <c r="D484" s="6" t="s">
        <v>59</v>
      </c>
      <c r="E484" s="18">
        <f t="shared" si="1"/>
        <v>6</v>
      </c>
      <c r="F484" s="19">
        <v>0.01</v>
      </c>
      <c r="G484" s="11"/>
      <c r="H484" s="26"/>
      <c r="I484" s="24">
        <f t="shared" si="2"/>
        <v>8</v>
      </c>
      <c r="J484" s="25">
        <f t="shared" si="3"/>
        <v>4</v>
      </c>
    </row>
    <row r="485">
      <c r="A485" s="16">
        <v>7612.0</v>
      </c>
      <c r="B485" s="6" t="s">
        <v>446</v>
      </c>
      <c r="C485" s="6" t="s">
        <v>585</v>
      </c>
      <c r="D485" s="6" t="s">
        <v>63</v>
      </c>
      <c r="E485" s="18">
        <f t="shared" si="1"/>
        <v>19</v>
      </c>
      <c r="F485" s="27">
        <v>0.031</v>
      </c>
      <c r="G485" s="11"/>
      <c r="H485" s="26"/>
      <c r="I485" s="24">
        <f t="shared" si="2"/>
        <v>8</v>
      </c>
      <c r="J485" s="25">
        <f t="shared" si="3"/>
        <v>4</v>
      </c>
    </row>
    <row r="486">
      <c r="A486" s="16">
        <v>4359.0</v>
      </c>
      <c r="B486" s="6" t="s">
        <v>446</v>
      </c>
      <c r="C486" s="6" t="s">
        <v>586</v>
      </c>
      <c r="D486" s="6" t="s">
        <v>37</v>
      </c>
      <c r="E486" s="18">
        <f t="shared" si="1"/>
        <v>17</v>
      </c>
      <c r="F486" s="27">
        <v>0.029</v>
      </c>
      <c r="G486" s="11"/>
      <c r="H486" s="26"/>
      <c r="I486" s="24">
        <f t="shared" si="2"/>
        <v>8</v>
      </c>
      <c r="J486" s="25">
        <f t="shared" si="3"/>
        <v>4</v>
      </c>
    </row>
    <row r="487">
      <c r="A487" s="16">
        <v>7600.0</v>
      </c>
      <c r="B487" s="6" t="s">
        <v>446</v>
      </c>
      <c r="C487" s="6" t="s">
        <v>587</v>
      </c>
      <c r="D487" s="6" t="s">
        <v>47</v>
      </c>
      <c r="E487" s="18">
        <f t="shared" si="1"/>
        <v>17</v>
      </c>
      <c r="F487" s="27">
        <v>0.028</v>
      </c>
      <c r="G487" s="11"/>
      <c r="H487" s="26"/>
      <c r="I487" s="24">
        <f t="shared" si="2"/>
        <v>8</v>
      </c>
      <c r="J487" s="25">
        <f t="shared" si="3"/>
        <v>4</v>
      </c>
    </row>
    <row r="488">
      <c r="A488" s="16">
        <v>5436.0</v>
      </c>
      <c r="B488" s="6" t="s">
        <v>446</v>
      </c>
      <c r="C488" s="6" t="s">
        <v>588</v>
      </c>
      <c r="D488" s="6" t="s">
        <v>63</v>
      </c>
      <c r="E488" s="18">
        <f t="shared" si="1"/>
        <v>12</v>
      </c>
      <c r="F488" s="19">
        <v>0.02</v>
      </c>
      <c r="G488" s="11"/>
      <c r="H488" s="26"/>
      <c r="I488" s="24">
        <f t="shared" si="2"/>
        <v>8</v>
      </c>
      <c r="J488" s="25">
        <f t="shared" si="3"/>
        <v>4</v>
      </c>
    </row>
    <row r="489">
      <c r="A489" s="16">
        <v>6904.0</v>
      </c>
      <c r="B489" s="6" t="s">
        <v>446</v>
      </c>
      <c r="C489" s="6" t="s">
        <v>589</v>
      </c>
      <c r="D489" s="6" t="s">
        <v>54</v>
      </c>
      <c r="E489" s="18">
        <f t="shared" si="1"/>
        <v>6</v>
      </c>
      <c r="F489" s="19">
        <v>0.01</v>
      </c>
      <c r="G489" s="11"/>
      <c r="H489" s="26"/>
      <c r="I489" s="24">
        <f t="shared" si="2"/>
        <v>8</v>
      </c>
      <c r="J489" s="25">
        <f t="shared" si="3"/>
        <v>4</v>
      </c>
    </row>
    <row r="490">
      <c r="A490" s="16">
        <v>2832.0</v>
      </c>
      <c r="B490" s="6" t="s">
        <v>446</v>
      </c>
      <c r="C490" s="6" t="s">
        <v>590</v>
      </c>
      <c r="D490" s="6" t="s">
        <v>21</v>
      </c>
      <c r="E490" s="18">
        <f t="shared" si="1"/>
        <v>16</v>
      </c>
      <c r="F490" s="27">
        <v>0.027</v>
      </c>
      <c r="G490" s="11"/>
      <c r="H490" s="26"/>
      <c r="I490" s="24">
        <f t="shared" si="2"/>
        <v>8</v>
      </c>
      <c r="J490" s="25">
        <f t="shared" si="3"/>
        <v>4</v>
      </c>
    </row>
    <row r="491">
      <c r="A491" s="16">
        <v>7623.0</v>
      </c>
      <c r="B491" s="6" t="s">
        <v>446</v>
      </c>
      <c r="C491" s="6" t="s">
        <v>591</v>
      </c>
      <c r="D491" s="6" t="s">
        <v>35</v>
      </c>
      <c r="E491" s="18">
        <f t="shared" si="1"/>
        <v>15</v>
      </c>
      <c r="F491" s="27">
        <v>0.025</v>
      </c>
      <c r="G491" s="11"/>
      <c r="H491" s="26"/>
      <c r="I491" s="24">
        <f t="shared" si="2"/>
        <v>8</v>
      </c>
      <c r="J491" s="25">
        <f t="shared" si="3"/>
        <v>4</v>
      </c>
    </row>
    <row r="492">
      <c r="A492" s="16">
        <v>2155.0</v>
      </c>
      <c r="B492" s="6" t="s">
        <v>446</v>
      </c>
      <c r="C492" s="6" t="s">
        <v>592</v>
      </c>
      <c r="D492" s="6" t="s">
        <v>52</v>
      </c>
      <c r="E492" s="18">
        <f t="shared" si="1"/>
        <v>14</v>
      </c>
      <c r="F492" s="27">
        <v>0.023</v>
      </c>
      <c r="G492" s="11"/>
      <c r="H492" s="26"/>
      <c r="I492" s="24">
        <f t="shared" si="2"/>
        <v>8</v>
      </c>
      <c r="J492" s="25">
        <f t="shared" si="3"/>
        <v>4</v>
      </c>
    </row>
    <row r="493">
      <c r="A493" s="16">
        <v>6530.0</v>
      </c>
      <c r="B493" s="6" t="s">
        <v>446</v>
      </c>
      <c r="C493" s="6" t="s">
        <v>593</v>
      </c>
      <c r="D493" s="6" t="s">
        <v>63</v>
      </c>
      <c r="E493" s="18">
        <f t="shared" si="1"/>
        <v>14</v>
      </c>
      <c r="F493" s="27">
        <v>0.023</v>
      </c>
      <c r="G493" s="11"/>
      <c r="H493" s="22" t="s">
        <v>33</v>
      </c>
      <c r="I493" s="24">
        <f t="shared" si="2"/>
        <v>8</v>
      </c>
      <c r="J493" s="25">
        <f t="shared" si="3"/>
        <v>4</v>
      </c>
    </row>
    <row r="494">
      <c r="A494" s="16">
        <v>5029.0</v>
      </c>
      <c r="B494" s="6" t="s">
        <v>446</v>
      </c>
      <c r="C494" s="6" t="s">
        <v>594</v>
      </c>
      <c r="D494" s="6" t="s">
        <v>41</v>
      </c>
      <c r="E494" s="18">
        <f t="shared" si="1"/>
        <v>14</v>
      </c>
      <c r="F494" s="27">
        <v>0.023</v>
      </c>
      <c r="G494" s="11"/>
      <c r="H494" s="26"/>
      <c r="I494" s="24">
        <f t="shared" si="2"/>
        <v>8</v>
      </c>
      <c r="J494" s="25">
        <f t="shared" si="3"/>
        <v>4</v>
      </c>
    </row>
    <row r="495">
      <c r="A495" s="16">
        <v>6204.0</v>
      </c>
      <c r="B495" s="6" t="s">
        <v>446</v>
      </c>
      <c r="C495" s="6" t="s">
        <v>595</v>
      </c>
      <c r="D495" s="6" t="s">
        <v>63</v>
      </c>
      <c r="E495" s="18">
        <f t="shared" si="1"/>
        <v>14</v>
      </c>
      <c r="F495" s="27">
        <v>0.024</v>
      </c>
      <c r="G495" s="11"/>
      <c r="H495" s="26"/>
      <c r="I495" s="24">
        <f t="shared" si="2"/>
        <v>8</v>
      </c>
      <c r="J495" s="25">
        <f t="shared" si="3"/>
        <v>4</v>
      </c>
    </row>
    <row r="496">
      <c r="A496" s="16">
        <v>4896.0</v>
      </c>
      <c r="B496" s="6" t="s">
        <v>446</v>
      </c>
      <c r="C496" s="6" t="s">
        <v>596</v>
      </c>
      <c r="D496" s="6" t="s">
        <v>43</v>
      </c>
      <c r="E496" s="18">
        <f t="shared" si="1"/>
        <v>13</v>
      </c>
      <c r="F496" s="27">
        <v>0.021</v>
      </c>
      <c r="G496" s="11"/>
      <c r="H496" s="26"/>
      <c r="I496" s="24">
        <f t="shared" si="2"/>
        <v>8</v>
      </c>
      <c r="J496" s="25">
        <f t="shared" si="3"/>
        <v>4</v>
      </c>
    </row>
    <row r="497">
      <c r="A497" s="16">
        <v>6831.0</v>
      </c>
      <c r="B497" s="6" t="s">
        <v>446</v>
      </c>
      <c r="C497" s="6" t="s">
        <v>597</v>
      </c>
      <c r="D497" s="6" t="s">
        <v>27</v>
      </c>
      <c r="E497" s="18">
        <f t="shared" si="1"/>
        <v>12</v>
      </c>
      <c r="F497" s="27">
        <v>0.02</v>
      </c>
      <c r="G497" s="11"/>
      <c r="H497" s="26"/>
      <c r="I497" s="24">
        <f t="shared" si="2"/>
        <v>8</v>
      </c>
      <c r="J497" s="25">
        <f t="shared" si="3"/>
        <v>4</v>
      </c>
    </row>
    <row r="498">
      <c r="A498" s="16">
        <v>6519.0</v>
      </c>
      <c r="B498" s="6" t="s">
        <v>446</v>
      </c>
      <c r="C498" s="6" t="s">
        <v>598</v>
      </c>
      <c r="D498" s="6" t="s">
        <v>23</v>
      </c>
      <c r="E498" s="18">
        <f t="shared" si="1"/>
        <v>12</v>
      </c>
      <c r="F498" s="27">
        <v>0.02</v>
      </c>
      <c r="G498" s="11"/>
      <c r="H498" s="26"/>
      <c r="I498" s="24">
        <f t="shared" si="2"/>
        <v>8</v>
      </c>
      <c r="J498" s="25">
        <f t="shared" si="3"/>
        <v>4</v>
      </c>
    </row>
    <row r="499">
      <c r="A499" s="16">
        <v>7620.0</v>
      </c>
      <c r="B499" s="6" t="s">
        <v>446</v>
      </c>
      <c r="C499" s="6" t="s">
        <v>599</v>
      </c>
      <c r="D499" s="6" t="s">
        <v>52</v>
      </c>
      <c r="E499" s="18">
        <f t="shared" si="1"/>
        <v>11</v>
      </c>
      <c r="F499" s="27">
        <v>0.018</v>
      </c>
      <c r="G499" s="11"/>
      <c r="H499" s="26"/>
      <c r="I499" s="24">
        <f t="shared" si="2"/>
        <v>8</v>
      </c>
      <c r="J499" s="25">
        <f t="shared" si="3"/>
        <v>4</v>
      </c>
    </row>
    <row r="500">
      <c r="A500" s="16">
        <v>6669.0</v>
      </c>
      <c r="B500" s="6" t="s">
        <v>446</v>
      </c>
      <c r="C500" s="6" t="s">
        <v>600</v>
      </c>
      <c r="D500" s="6" t="s">
        <v>19</v>
      </c>
      <c r="E500" s="18">
        <f t="shared" si="1"/>
        <v>9</v>
      </c>
      <c r="F500" s="27">
        <v>0.015</v>
      </c>
      <c r="G500" s="11"/>
      <c r="H500" s="26"/>
      <c r="I500" s="24">
        <f t="shared" si="2"/>
        <v>8</v>
      </c>
      <c r="J500" s="25">
        <f t="shared" si="3"/>
        <v>4</v>
      </c>
    </row>
    <row r="501">
      <c r="A501" s="16">
        <v>6164.0</v>
      </c>
      <c r="B501" s="6" t="s">
        <v>446</v>
      </c>
      <c r="C501" s="6" t="s">
        <v>601</v>
      </c>
      <c r="D501" s="6" t="s">
        <v>47</v>
      </c>
      <c r="E501" s="18">
        <f t="shared" si="1"/>
        <v>6</v>
      </c>
      <c r="F501" s="19">
        <v>0.01</v>
      </c>
      <c r="G501" s="11"/>
      <c r="H501" s="26"/>
      <c r="I501" s="24">
        <f t="shared" si="2"/>
        <v>8</v>
      </c>
      <c r="J501" s="25">
        <f t="shared" si="3"/>
        <v>4</v>
      </c>
    </row>
    <row r="502">
      <c r="A502" s="16">
        <v>7449.0</v>
      </c>
      <c r="B502" s="6" t="s">
        <v>446</v>
      </c>
      <c r="C502" s="6" t="s">
        <v>602</v>
      </c>
      <c r="D502" s="6" t="s">
        <v>54</v>
      </c>
      <c r="E502" s="18">
        <f t="shared" si="1"/>
        <v>8</v>
      </c>
      <c r="F502" s="27">
        <v>0.013</v>
      </c>
      <c r="G502" s="11"/>
      <c r="H502" s="26"/>
      <c r="I502" s="24">
        <f t="shared" si="2"/>
        <v>8</v>
      </c>
      <c r="J502" s="25">
        <f t="shared" si="3"/>
        <v>4</v>
      </c>
    </row>
    <row r="503">
      <c r="A503" s="16">
        <v>6145.0</v>
      </c>
      <c r="B503" s="6" t="s">
        <v>446</v>
      </c>
      <c r="C503" s="6" t="s">
        <v>603</v>
      </c>
      <c r="D503" s="6" t="s">
        <v>52</v>
      </c>
      <c r="E503" s="18">
        <f t="shared" si="1"/>
        <v>8</v>
      </c>
      <c r="F503" s="27">
        <v>0.013</v>
      </c>
      <c r="G503" s="11"/>
      <c r="H503" s="26"/>
      <c r="I503" s="24">
        <f t="shared" si="2"/>
        <v>8</v>
      </c>
      <c r="J503" s="25">
        <f t="shared" si="3"/>
        <v>4</v>
      </c>
    </row>
    <row r="504">
      <c r="A504" s="16">
        <v>7120.0</v>
      </c>
      <c r="B504" s="6" t="s">
        <v>446</v>
      </c>
      <c r="C504" s="6" t="s">
        <v>604</v>
      </c>
      <c r="D504" s="6" t="s">
        <v>27</v>
      </c>
      <c r="E504" s="18">
        <f t="shared" si="1"/>
        <v>6</v>
      </c>
      <c r="F504" s="19">
        <v>0.01</v>
      </c>
      <c r="G504" s="21" t="s">
        <v>605</v>
      </c>
      <c r="H504" s="26"/>
      <c r="I504" s="24">
        <f t="shared" si="2"/>
        <v>7</v>
      </c>
      <c r="J504" s="25">
        <f t="shared" si="3"/>
        <v>4</v>
      </c>
    </row>
    <row r="505">
      <c r="A505" s="16">
        <v>7602.0</v>
      </c>
      <c r="B505" s="6" t="s">
        <v>446</v>
      </c>
      <c r="C505" s="6" t="s">
        <v>606</v>
      </c>
      <c r="D505" s="6" t="s">
        <v>41</v>
      </c>
      <c r="E505" s="18">
        <f t="shared" si="1"/>
        <v>8</v>
      </c>
      <c r="F505" s="27">
        <v>0.014</v>
      </c>
      <c r="G505" s="11"/>
      <c r="H505" s="26"/>
      <c r="I505" s="24">
        <f t="shared" si="2"/>
        <v>8</v>
      </c>
      <c r="J505" s="25">
        <f t="shared" si="3"/>
        <v>4</v>
      </c>
    </row>
    <row r="506">
      <c r="A506" s="16">
        <v>7252.0</v>
      </c>
      <c r="B506" s="6" t="s">
        <v>446</v>
      </c>
      <c r="C506" s="6" t="s">
        <v>607</v>
      </c>
      <c r="D506" s="6" t="s">
        <v>41</v>
      </c>
      <c r="E506" s="18">
        <f t="shared" si="1"/>
        <v>1</v>
      </c>
      <c r="F506" s="19">
        <v>0.002</v>
      </c>
      <c r="G506" s="21" t="s">
        <v>126</v>
      </c>
      <c r="H506" s="22" t="s">
        <v>33</v>
      </c>
      <c r="I506" s="24">
        <f t="shared" si="2"/>
        <v>5</v>
      </c>
      <c r="J506" s="25">
        <f t="shared" si="3"/>
        <v>4</v>
      </c>
    </row>
    <row r="507">
      <c r="A507" s="16">
        <v>608.0</v>
      </c>
      <c r="B507" s="6" t="s">
        <v>446</v>
      </c>
      <c r="C507" s="6" t="s">
        <v>608</v>
      </c>
      <c r="D507" s="6" t="s">
        <v>56</v>
      </c>
      <c r="E507" s="18">
        <f t="shared" si="1"/>
        <v>7</v>
      </c>
      <c r="F507" s="27">
        <v>0.012</v>
      </c>
      <c r="G507" s="11"/>
      <c r="H507" s="26"/>
      <c r="I507" s="24">
        <f t="shared" si="2"/>
        <v>8</v>
      </c>
      <c r="J507" s="25">
        <f t="shared" si="3"/>
        <v>4</v>
      </c>
    </row>
    <row r="508">
      <c r="A508" s="16">
        <v>7610.0</v>
      </c>
      <c r="B508" s="6" t="s">
        <v>446</v>
      </c>
      <c r="C508" s="6" t="s">
        <v>609</v>
      </c>
      <c r="D508" s="6" t="s">
        <v>63</v>
      </c>
      <c r="E508" s="18">
        <f t="shared" si="1"/>
        <v>7</v>
      </c>
      <c r="F508" s="27">
        <v>0.011</v>
      </c>
      <c r="G508" s="11"/>
      <c r="H508" s="26"/>
      <c r="I508" s="24">
        <f t="shared" si="2"/>
        <v>8</v>
      </c>
      <c r="J508" s="25">
        <f t="shared" si="3"/>
        <v>4</v>
      </c>
    </row>
    <row r="509">
      <c r="A509" s="16">
        <v>7374.0</v>
      </c>
      <c r="B509" s="6" t="s">
        <v>446</v>
      </c>
      <c r="C509" s="6" t="s">
        <v>610</v>
      </c>
      <c r="D509" s="6" t="s">
        <v>43</v>
      </c>
      <c r="E509" s="18">
        <f t="shared" si="1"/>
        <v>1</v>
      </c>
      <c r="F509" s="19">
        <v>0.002</v>
      </c>
      <c r="G509" s="21" t="s">
        <v>126</v>
      </c>
      <c r="H509" s="26"/>
      <c r="I509" s="24">
        <f t="shared" si="2"/>
        <v>5</v>
      </c>
      <c r="J509" s="25">
        <f t="shared" si="3"/>
        <v>4</v>
      </c>
    </row>
    <row r="510">
      <c r="A510" s="16">
        <v>7001.0</v>
      </c>
      <c r="B510" s="6" t="s">
        <v>446</v>
      </c>
      <c r="C510" s="6" t="s">
        <v>611</v>
      </c>
      <c r="D510" s="6" t="s">
        <v>41</v>
      </c>
      <c r="E510" s="18">
        <f t="shared" si="1"/>
        <v>7</v>
      </c>
      <c r="F510" s="27">
        <v>0.012</v>
      </c>
      <c r="G510" s="11"/>
      <c r="H510" s="26"/>
      <c r="I510" s="24">
        <f t="shared" si="2"/>
        <v>8</v>
      </c>
      <c r="J510" s="25">
        <f t="shared" si="3"/>
        <v>4</v>
      </c>
    </row>
    <row r="511">
      <c r="A511" s="16">
        <v>6215.0</v>
      </c>
      <c r="B511" s="6" t="s">
        <v>446</v>
      </c>
      <c r="C511" s="6" t="s">
        <v>612</v>
      </c>
      <c r="D511" s="6" t="s">
        <v>27</v>
      </c>
      <c r="E511" s="18">
        <f t="shared" si="1"/>
        <v>7</v>
      </c>
      <c r="F511" s="27">
        <v>0.012</v>
      </c>
      <c r="G511" s="11"/>
      <c r="H511" s="26"/>
      <c r="I511" s="24">
        <f t="shared" si="2"/>
        <v>8</v>
      </c>
      <c r="J511" s="25">
        <f t="shared" si="3"/>
        <v>4</v>
      </c>
    </row>
    <row r="512">
      <c r="A512" s="16">
        <v>7342.0</v>
      </c>
      <c r="B512" s="6" t="s">
        <v>446</v>
      </c>
      <c r="C512" s="6" t="s">
        <v>613</v>
      </c>
      <c r="D512" s="6" t="s">
        <v>50</v>
      </c>
      <c r="E512" s="18">
        <f t="shared" si="1"/>
        <v>7</v>
      </c>
      <c r="F512" s="27">
        <v>0.011</v>
      </c>
      <c r="G512" s="11"/>
      <c r="H512" s="26"/>
      <c r="I512" s="24">
        <f t="shared" si="2"/>
        <v>8</v>
      </c>
      <c r="J512" s="25">
        <f t="shared" si="3"/>
        <v>4</v>
      </c>
    </row>
    <row r="513">
      <c r="A513" s="16">
        <v>7561.0</v>
      </c>
      <c r="B513" s="6" t="s">
        <v>446</v>
      </c>
      <c r="C513" s="6" t="s">
        <v>614</v>
      </c>
      <c r="D513" s="6" t="s">
        <v>50</v>
      </c>
      <c r="E513" s="18">
        <f t="shared" si="1"/>
        <v>7</v>
      </c>
      <c r="F513" s="27">
        <v>0.011</v>
      </c>
      <c r="G513" s="11"/>
      <c r="H513" s="26"/>
      <c r="I513" s="24">
        <f t="shared" si="2"/>
        <v>8</v>
      </c>
      <c r="J513" s="25">
        <f t="shared" si="3"/>
        <v>4</v>
      </c>
    </row>
    <row r="514">
      <c r="A514" s="16">
        <v>2012.0</v>
      </c>
      <c r="B514" s="6" t="s">
        <v>446</v>
      </c>
      <c r="C514" s="6" t="s">
        <v>615</v>
      </c>
      <c r="D514" s="6" t="s">
        <v>21</v>
      </c>
      <c r="E514" s="18" t="str">
        <f t="shared" si="1"/>
        <v>#VALUE!</v>
      </c>
      <c r="F514" s="59" t="s">
        <v>616</v>
      </c>
      <c r="G514" s="11"/>
      <c r="H514" s="26"/>
      <c r="I514" s="24">
        <f t="shared" si="2"/>
        <v>8</v>
      </c>
      <c r="J514" s="25">
        <f t="shared" si="3"/>
        <v>4</v>
      </c>
    </row>
    <row r="515">
      <c r="A515" s="16">
        <v>5336.0</v>
      </c>
      <c r="B515" s="6" t="s">
        <v>446</v>
      </c>
      <c r="C515" s="6" t="s">
        <v>617</v>
      </c>
      <c r="D515" s="6" t="s">
        <v>43</v>
      </c>
      <c r="E515" s="18">
        <f t="shared" si="1"/>
        <v>6</v>
      </c>
      <c r="F515" s="27">
        <v>0.01</v>
      </c>
      <c r="G515" s="11"/>
      <c r="H515" s="26"/>
      <c r="I515" s="24">
        <f t="shared" si="2"/>
        <v>8</v>
      </c>
      <c r="J515" s="25">
        <f t="shared" si="3"/>
        <v>4</v>
      </c>
    </row>
    <row r="516">
      <c r="A516" s="16">
        <v>6822.0</v>
      </c>
      <c r="B516" s="6" t="s">
        <v>446</v>
      </c>
      <c r="C516" s="6" t="s">
        <v>618</v>
      </c>
      <c r="D516" s="6" t="s">
        <v>21</v>
      </c>
      <c r="E516" s="18">
        <f t="shared" si="1"/>
        <v>6</v>
      </c>
      <c r="F516" s="27">
        <v>0.01</v>
      </c>
      <c r="G516" s="11"/>
      <c r="H516" s="26"/>
      <c r="I516" s="24">
        <f t="shared" si="2"/>
        <v>8</v>
      </c>
      <c r="J516" s="25">
        <f t="shared" si="3"/>
        <v>4</v>
      </c>
    </row>
    <row r="517">
      <c r="A517" s="16">
        <v>5918.0</v>
      </c>
      <c r="B517" s="6" t="s">
        <v>446</v>
      </c>
      <c r="C517" s="6" t="s">
        <v>619</v>
      </c>
      <c r="D517" s="6" t="s">
        <v>25</v>
      </c>
      <c r="E517" s="18">
        <f t="shared" si="1"/>
        <v>5</v>
      </c>
      <c r="F517" s="27">
        <v>0.008</v>
      </c>
      <c r="G517" s="11"/>
      <c r="H517" s="26"/>
      <c r="I517" s="24">
        <f t="shared" si="2"/>
        <v>8</v>
      </c>
      <c r="J517" s="25">
        <f t="shared" si="3"/>
        <v>4</v>
      </c>
    </row>
    <row r="518">
      <c r="A518" s="16">
        <v>6556.0</v>
      </c>
      <c r="B518" s="6" t="s">
        <v>446</v>
      </c>
      <c r="C518" s="6" t="s">
        <v>620</v>
      </c>
      <c r="D518" s="6" t="s">
        <v>31</v>
      </c>
      <c r="E518" s="18">
        <f t="shared" si="1"/>
        <v>5</v>
      </c>
      <c r="F518" s="27">
        <v>0.008</v>
      </c>
      <c r="G518" s="11"/>
      <c r="H518" s="26"/>
      <c r="I518" s="24">
        <f t="shared" si="2"/>
        <v>8</v>
      </c>
      <c r="J518" s="25">
        <f t="shared" si="3"/>
        <v>4</v>
      </c>
    </row>
    <row r="519">
      <c r="A519" s="16">
        <v>5882.0</v>
      </c>
      <c r="B519" s="6" t="s">
        <v>446</v>
      </c>
      <c r="C519" s="6" t="s">
        <v>621</v>
      </c>
      <c r="D519" s="6" t="s">
        <v>52</v>
      </c>
      <c r="E519" s="18">
        <f t="shared" si="1"/>
        <v>5</v>
      </c>
      <c r="F519" s="27">
        <v>0.008</v>
      </c>
      <c r="G519" s="11"/>
      <c r="H519" s="26"/>
      <c r="I519" s="24">
        <f t="shared" si="2"/>
        <v>8</v>
      </c>
      <c r="J519" s="25">
        <f t="shared" si="3"/>
        <v>4</v>
      </c>
    </row>
    <row r="520">
      <c r="A520" s="16">
        <v>7349.0</v>
      </c>
      <c r="B520" s="6" t="s">
        <v>446</v>
      </c>
      <c r="C520" s="6" t="s">
        <v>622</v>
      </c>
      <c r="D520" s="6" t="s">
        <v>56</v>
      </c>
      <c r="E520" s="18">
        <f t="shared" si="1"/>
        <v>5</v>
      </c>
      <c r="F520" s="27">
        <v>0.009</v>
      </c>
      <c r="G520" s="11"/>
      <c r="H520" s="26"/>
      <c r="I520" s="24">
        <f t="shared" si="2"/>
        <v>8</v>
      </c>
      <c r="J520" s="25">
        <f t="shared" si="3"/>
        <v>4</v>
      </c>
    </row>
    <row r="521">
      <c r="A521" s="16">
        <v>4387.0</v>
      </c>
      <c r="B521" s="6" t="s">
        <v>446</v>
      </c>
      <c r="C521" s="6" t="s">
        <v>623</v>
      </c>
      <c r="D521" s="6" t="s">
        <v>54</v>
      </c>
      <c r="E521" s="18">
        <f t="shared" si="1"/>
        <v>5</v>
      </c>
      <c r="F521" s="27">
        <v>0.008</v>
      </c>
      <c r="G521" s="11"/>
      <c r="H521" s="26"/>
      <c r="I521" s="24">
        <f t="shared" si="2"/>
        <v>8</v>
      </c>
      <c r="J521" s="25">
        <f t="shared" si="3"/>
        <v>4</v>
      </c>
    </row>
    <row r="522">
      <c r="A522" s="16">
        <v>7162.0</v>
      </c>
      <c r="B522" s="6" t="s">
        <v>446</v>
      </c>
      <c r="C522" s="6" t="s">
        <v>624</v>
      </c>
      <c r="D522" s="6" t="s">
        <v>27</v>
      </c>
      <c r="E522" s="18">
        <f t="shared" si="1"/>
        <v>4</v>
      </c>
      <c r="F522" s="27">
        <v>0.007</v>
      </c>
      <c r="G522" s="11"/>
      <c r="H522" s="26"/>
      <c r="I522" s="24">
        <f t="shared" si="2"/>
        <v>8</v>
      </c>
      <c r="J522" s="25">
        <f t="shared" si="3"/>
        <v>4</v>
      </c>
    </row>
    <row r="523">
      <c r="A523" s="16">
        <v>7213.0</v>
      </c>
      <c r="B523" s="6" t="s">
        <v>446</v>
      </c>
      <c r="C523" s="6" t="s">
        <v>625</v>
      </c>
      <c r="D523" s="6" t="s">
        <v>50</v>
      </c>
      <c r="E523" s="18">
        <f t="shared" si="1"/>
        <v>4</v>
      </c>
      <c r="F523" s="27">
        <v>0.006</v>
      </c>
      <c r="G523" s="11"/>
      <c r="H523" s="26"/>
      <c r="I523" s="24">
        <f t="shared" si="2"/>
        <v>8</v>
      </c>
      <c r="J523" s="25">
        <f t="shared" si="3"/>
        <v>4</v>
      </c>
    </row>
    <row r="524">
      <c r="A524" s="16">
        <v>7272.0</v>
      </c>
      <c r="B524" s="6" t="s">
        <v>446</v>
      </c>
      <c r="C524" s="6" t="s">
        <v>626</v>
      </c>
      <c r="D524" s="6" t="s">
        <v>39</v>
      </c>
      <c r="E524" s="18">
        <f t="shared" si="1"/>
        <v>4</v>
      </c>
      <c r="F524" s="27">
        <v>0.007</v>
      </c>
      <c r="G524" s="11"/>
      <c r="H524" s="26"/>
      <c r="I524" s="24">
        <f t="shared" si="2"/>
        <v>8</v>
      </c>
      <c r="J524" s="25">
        <f t="shared" si="3"/>
        <v>4</v>
      </c>
    </row>
    <row r="525">
      <c r="A525" s="16">
        <v>7453.0</v>
      </c>
      <c r="B525" s="6" t="s">
        <v>446</v>
      </c>
      <c r="C525" s="6" t="s">
        <v>627</v>
      </c>
      <c r="D525" s="6" t="s">
        <v>47</v>
      </c>
      <c r="E525" s="18">
        <f t="shared" si="1"/>
        <v>3</v>
      </c>
      <c r="F525" s="27">
        <v>0.005</v>
      </c>
      <c r="G525" s="11"/>
      <c r="H525" s="26"/>
      <c r="I525" s="24">
        <f t="shared" si="2"/>
        <v>8</v>
      </c>
      <c r="J525" s="25">
        <f t="shared" si="3"/>
        <v>4</v>
      </c>
    </row>
    <row r="526">
      <c r="A526" s="16">
        <v>7546.0</v>
      </c>
      <c r="B526" s="6" t="s">
        <v>446</v>
      </c>
      <c r="C526" s="6" t="s">
        <v>628</v>
      </c>
      <c r="D526" s="6" t="s">
        <v>52</v>
      </c>
      <c r="E526" s="18">
        <f t="shared" si="1"/>
        <v>3</v>
      </c>
      <c r="F526" s="27">
        <v>0.005</v>
      </c>
      <c r="G526" s="11"/>
      <c r="H526" s="26"/>
      <c r="I526" s="24">
        <f t="shared" si="2"/>
        <v>8</v>
      </c>
      <c r="J526" s="25">
        <f t="shared" si="3"/>
        <v>4</v>
      </c>
    </row>
    <row r="527">
      <c r="A527" s="16">
        <v>7627.0</v>
      </c>
      <c r="B527" s="6" t="s">
        <v>446</v>
      </c>
      <c r="C527" s="6" t="s">
        <v>629</v>
      </c>
      <c r="D527" s="6" t="s">
        <v>37</v>
      </c>
      <c r="E527" s="18">
        <f t="shared" si="1"/>
        <v>2</v>
      </c>
      <c r="F527" s="27">
        <v>0.004</v>
      </c>
      <c r="G527" s="11"/>
      <c r="H527" s="26"/>
      <c r="I527" s="24">
        <f t="shared" si="2"/>
        <v>8</v>
      </c>
      <c r="J527" s="25">
        <f t="shared" si="3"/>
        <v>4</v>
      </c>
    </row>
    <row r="528">
      <c r="A528" s="16">
        <v>7161.0</v>
      </c>
      <c r="B528" s="6" t="s">
        <v>446</v>
      </c>
      <c r="C528" s="6" t="s">
        <v>630</v>
      </c>
      <c r="D528" s="6" t="s">
        <v>39</v>
      </c>
      <c r="E528" s="18">
        <f t="shared" si="1"/>
        <v>2</v>
      </c>
      <c r="F528" s="27">
        <v>0.003</v>
      </c>
      <c r="G528" s="11"/>
      <c r="H528" s="26"/>
      <c r="I528" s="24">
        <f t="shared" si="2"/>
        <v>8</v>
      </c>
      <c r="J528" s="25">
        <f t="shared" si="3"/>
        <v>4</v>
      </c>
    </row>
    <row r="529">
      <c r="A529" s="16">
        <v>7622.0</v>
      </c>
      <c r="B529" s="6" t="s">
        <v>446</v>
      </c>
      <c r="C529" s="6" t="s">
        <v>631</v>
      </c>
      <c r="D529" s="6" t="s">
        <v>47</v>
      </c>
      <c r="E529" s="18">
        <f t="shared" si="1"/>
        <v>2</v>
      </c>
      <c r="F529" s="27">
        <v>0.003</v>
      </c>
      <c r="G529" s="11"/>
      <c r="H529" s="26"/>
      <c r="I529" s="24">
        <f t="shared" si="2"/>
        <v>8</v>
      </c>
      <c r="J529" s="25">
        <f t="shared" si="3"/>
        <v>4</v>
      </c>
    </row>
    <row r="530">
      <c r="A530" s="16">
        <v>7317.0</v>
      </c>
      <c r="B530" s="6" t="s">
        <v>446</v>
      </c>
      <c r="C530" s="6" t="s">
        <v>632</v>
      </c>
      <c r="D530" s="6" t="s">
        <v>43</v>
      </c>
      <c r="E530" s="18">
        <f t="shared" si="1"/>
        <v>1</v>
      </c>
      <c r="F530" s="27">
        <v>0.002</v>
      </c>
      <c r="G530" s="11"/>
      <c r="H530" s="26"/>
      <c r="I530" s="24">
        <f t="shared" si="2"/>
        <v>8</v>
      </c>
      <c r="J530" s="25">
        <f t="shared" si="3"/>
        <v>4</v>
      </c>
    </row>
    <row r="531">
      <c r="A531" s="16">
        <v>7408.0</v>
      </c>
      <c r="B531" s="6" t="s">
        <v>446</v>
      </c>
      <c r="C531" s="6" t="s">
        <v>633</v>
      </c>
      <c r="D531" s="6" t="s">
        <v>54</v>
      </c>
      <c r="E531" s="18">
        <f t="shared" si="1"/>
        <v>1</v>
      </c>
      <c r="F531" s="27">
        <v>0.001</v>
      </c>
      <c r="G531" s="11"/>
      <c r="H531" s="26"/>
      <c r="I531" s="24">
        <f t="shared" si="2"/>
        <v>8</v>
      </c>
      <c r="J531" s="25">
        <f t="shared" si="3"/>
        <v>4</v>
      </c>
    </row>
    <row r="532">
      <c r="A532" s="16">
        <v>7482.0</v>
      </c>
      <c r="B532" s="6" t="s">
        <v>446</v>
      </c>
      <c r="C532" s="6" t="s">
        <v>634</v>
      </c>
      <c r="D532" s="6" t="s">
        <v>54</v>
      </c>
      <c r="E532" s="18">
        <f t="shared" si="1"/>
        <v>1</v>
      </c>
      <c r="F532" s="27">
        <v>0.001</v>
      </c>
      <c r="G532" s="11"/>
      <c r="H532" s="26"/>
      <c r="I532" s="24">
        <f t="shared" si="2"/>
        <v>8</v>
      </c>
      <c r="J532" s="25">
        <f t="shared" si="3"/>
        <v>4</v>
      </c>
    </row>
    <row r="533">
      <c r="A533" s="16">
        <v>7568.0</v>
      </c>
      <c r="B533" s="6" t="s">
        <v>446</v>
      </c>
      <c r="C533" s="6" t="s">
        <v>635</v>
      </c>
      <c r="D533" s="6" t="s">
        <v>50</v>
      </c>
      <c r="E533" s="18">
        <f t="shared" si="1"/>
        <v>1</v>
      </c>
      <c r="F533" s="27">
        <v>0.001</v>
      </c>
      <c r="G533" s="11"/>
      <c r="H533" s="26"/>
      <c r="I533" s="24">
        <f t="shared" si="2"/>
        <v>8</v>
      </c>
      <c r="J533" s="25">
        <f t="shared" si="3"/>
        <v>4</v>
      </c>
    </row>
  </sheetData>
  <customSheetViews>
    <customSheetView guid="{7A7A31E3-1CDD-426B-8E21-942B2FE83286}" filter="1" showAutoFilter="1">
      <autoFilter ref="$A$2:$J$533">
        <sortState ref="A2:J533">
          <sortCondition ref="J2:J533"/>
          <sortCondition ref="I2:I533"/>
          <sortCondition descending="1" ref="F2:F533"/>
        </sortState>
      </autoFilter>
    </customSheetView>
    <customSheetView guid="{681DD0F2-B6C4-4924-81ED-FACFD8E11C2A}" filter="1" showAutoFilter="1">
      <autoFilter ref="$A$2:$J$533">
        <filterColumn colId="7">
          <filters>
            <filter val="⭐"/>
          </filters>
        </filterColumn>
        <sortState ref="A2:J533">
          <sortCondition ref="J2:J533"/>
          <sortCondition ref="I2:I533"/>
          <sortCondition descending="1" ref="F2:F533"/>
        </sortState>
      </autoFilter>
    </customSheetView>
    <customSheetView guid="{02DFB7A0-E13B-46C8-A002-8243B4F4168C}" filter="1" showAutoFilter="1">
      <autoFilter ref="$A$2:$J$533">
        <sortState ref="A2:J533">
          <sortCondition ref="J2:J533"/>
          <sortCondition ref="C2:C533"/>
        </sortState>
      </autoFilter>
    </customSheetView>
    <customSheetView guid="{955270E3-B304-4098-922A-69191412B143}" filter="1" showAutoFilter="1">
      <autoFilter ref="$A$2:$J$533">
        <sortState ref="A2:J533">
          <sortCondition ref="J2:J533"/>
          <sortCondition descending="1" ref="F2:F533"/>
        </sortState>
      </autoFilter>
    </customSheetView>
  </customSheetViews>
  <mergeCells count="1">
    <mergeCell ref="A1:I1"/>
  </mergeCells>
  <conditionalFormatting sqref="A3:I533">
    <cfRule type="expression" dxfId="0" priority="1" stopIfTrue="1">
      <formula>$H3="⭐"</formula>
    </cfRule>
  </conditionalFormatting>
  <dataValidations>
    <dataValidation type="list" allowBlank="1" sqref="G3:G533">
      <formula1>"TOP,SEMITOP,TERZO-SLOT,QUARTO-SLOT,SCOMMESSE,TITOLARI,ALTRI"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2.13"/>
    <col customWidth="1" min="3" max="3" width="14.25"/>
    <col customWidth="1" min="4" max="4" width="8.13"/>
    <col customWidth="1" min="5" max="5" width="4.63"/>
    <col customWidth="1" min="6" max="6" width="8.5"/>
    <col customWidth="1" min="7" max="7" width="14.38"/>
    <col customWidth="1" min="8" max="8" width="13.88"/>
    <col customWidth="1" min="9" max="9" width="14.25"/>
    <col customWidth="1" min="10" max="10" width="4.75"/>
  </cols>
  <sheetData>
    <row r="1">
      <c r="A1" s="3" t="str">
        <f>IFERROR(__xludf.DUMMYFUNCTION("QUERY(LISTONE!A2:I1000, ""SELECT A, B, C, D, E, F, G, H WHERE B = 'P' ORDER BY I ASC, E DESC"", 1)"),"Id")</f>
        <v>Id</v>
      </c>
      <c r="B1" s="3" t="str">
        <f>IFERROR(__xludf.DUMMYFUNCTION("""COMPUTED_VALUE"""),"R")</f>
        <v>R</v>
      </c>
      <c r="C1" s="3" t="str">
        <f>IFERROR(__xludf.DUMMYFUNCTION("""COMPUTED_VALUE"""),"Nome")</f>
        <v>Nome</v>
      </c>
      <c r="D1" s="3" t="str">
        <f>IFERROR(__xludf.DUMMYFUNCTION("""COMPUTED_VALUE"""),"Squadra")</f>
        <v>Squadra</v>
      </c>
      <c r="E1" s="3" t="str">
        <f>IFERROR(__xludf.DUMMYFUNCTION("""COMPUTED_VALUE"""),"FVM")</f>
        <v>FVM</v>
      </c>
      <c r="F1" s="3" t="str">
        <f>IFERROR(__xludf.DUMMYFUNCTION("""COMPUTED_VALUE"""),"% Budget")</f>
        <v>% Budget</v>
      </c>
      <c r="G1" s="7" t="str">
        <f>IFERROR(__xludf.DUMMYFUNCTION("""COMPUTED_VALUE"""),"Fascia")</f>
        <v>Fascia</v>
      </c>
      <c r="H1" s="7" t="str">
        <f>IFERROR(__xludf.DUMMYFUNCTION("""COMPUTED_VALUE"""),"⭐ Preferito")</f>
        <v>⭐ Preferito</v>
      </c>
      <c r="I1" s="7" t="s">
        <v>8</v>
      </c>
      <c r="J1" s="7" t="s">
        <v>9</v>
      </c>
    </row>
    <row r="2">
      <c r="A2" s="11">
        <f>IFERROR(__xludf.DUMMYFUNCTION("""COMPUTED_VALUE"""),5841.0)</f>
        <v>5841</v>
      </c>
      <c r="B2" s="11" t="str">
        <f>IFERROR(__xludf.DUMMYFUNCTION("""COMPUTED_VALUE"""),"P")</f>
        <v>P</v>
      </c>
      <c r="C2" s="13" t="str">
        <f>IFERROR(__xludf.DUMMYFUNCTION("""COMPUTED_VALUE"""),"Svilar")</f>
        <v>Svilar</v>
      </c>
      <c r="D2" s="11" t="str">
        <f>IFERROR(__xludf.DUMMYFUNCTION("""COMPUTED_VALUE"""),"Roma")</f>
        <v>Roma</v>
      </c>
      <c r="E2" s="15">
        <f>IFERROR(__xludf.DUMMYFUNCTION("""COMPUTED_VALUE"""),66.0)</f>
        <v>66</v>
      </c>
      <c r="F2" s="17">
        <f>IFERROR(__xludf.DUMMYFUNCTION("""COMPUTED_VALUE"""),0.11)</f>
        <v>0.11</v>
      </c>
      <c r="G2" s="15" t="str">
        <f>IFERROR(__xludf.DUMMYFUNCTION("""COMPUTED_VALUE"""),"TOP")</f>
        <v>TOP</v>
      </c>
      <c r="H2" s="11"/>
      <c r="I2" s="15"/>
    </row>
    <row r="3">
      <c r="A3" s="11">
        <f>IFERROR(__xludf.DUMMYFUNCTION("""COMPUTED_VALUE"""),5116.0)</f>
        <v>5116</v>
      </c>
      <c r="B3" s="11" t="str">
        <f>IFERROR(__xludf.DUMMYFUNCTION("""COMPUTED_VALUE"""),"P")</f>
        <v>P</v>
      </c>
      <c r="C3" s="13" t="str">
        <f>IFERROR(__xludf.DUMMYFUNCTION("""COMPUTED_VALUE"""),"Martinez Jo.")</f>
        <v>Martinez Jo.</v>
      </c>
      <c r="D3" s="11" t="str">
        <f>IFERROR(__xludf.DUMMYFUNCTION("""COMPUTED_VALUE"""),"Inter")</f>
        <v>Inter</v>
      </c>
      <c r="E3" s="15">
        <f>IFERROR(__xludf.DUMMYFUNCTION("""COMPUTED_VALUE"""),54.0)</f>
        <v>54</v>
      </c>
      <c r="F3" s="17">
        <f>IFERROR(__xludf.DUMMYFUNCTION("""COMPUTED_VALUE"""),0.09)</f>
        <v>0.09</v>
      </c>
      <c r="G3" s="15" t="str">
        <f>IFERROR(__xludf.DUMMYFUNCTION("""COMPUTED_VALUE"""),"TOP")</f>
        <v>TOP</v>
      </c>
      <c r="H3" s="11"/>
      <c r="I3" s="15"/>
    </row>
    <row r="4">
      <c r="A4" s="11">
        <f>IFERROR(__xludf.DUMMYFUNCTION("""COMPUTED_VALUE"""),4964.0)</f>
        <v>4964</v>
      </c>
      <c r="B4" s="11" t="str">
        <f>IFERROR(__xludf.DUMMYFUNCTION("""COMPUTED_VALUE"""),"P")</f>
        <v>P</v>
      </c>
      <c r="C4" s="13" t="str">
        <f>IFERROR(__xludf.DUMMYFUNCTION("""COMPUTED_VALUE"""),"Vicario")</f>
        <v>Vicario</v>
      </c>
      <c r="D4" s="11" t="str">
        <f>IFERROR(__xludf.DUMMYFUNCTION("""COMPUTED_VALUE"""),"Juventus")</f>
        <v>Juventus</v>
      </c>
      <c r="E4" s="15">
        <f>IFERROR(__xludf.DUMMYFUNCTION("""COMPUTED_VALUE"""),54.0)</f>
        <v>54</v>
      </c>
      <c r="F4" s="17">
        <f>IFERROR(__xludf.DUMMYFUNCTION("""COMPUTED_VALUE"""),0.09)</f>
        <v>0.09</v>
      </c>
      <c r="G4" s="15" t="str">
        <f>IFERROR(__xludf.DUMMYFUNCTION("""COMPUTED_VALUE"""),"TOP")</f>
        <v>TOP</v>
      </c>
      <c r="H4" s="11"/>
      <c r="I4" s="15"/>
    </row>
    <row r="5">
      <c r="A5" s="11">
        <f>IFERROR(__xludf.DUMMYFUNCTION("""COMPUTED_VALUE"""),4312.0)</f>
        <v>4312</v>
      </c>
      <c r="B5" s="11" t="str">
        <f>IFERROR(__xludf.DUMMYFUNCTION("""COMPUTED_VALUE"""),"P")</f>
        <v>P</v>
      </c>
      <c r="C5" s="13" t="str">
        <f>IFERROR(__xludf.DUMMYFUNCTION("""COMPUTED_VALUE"""),"Maignan")</f>
        <v>Maignan</v>
      </c>
      <c r="D5" s="11" t="str">
        <f>IFERROR(__xludf.DUMMYFUNCTION("""COMPUTED_VALUE"""),"Milan")</f>
        <v>Milan</v>
      </c>
      <c r="E5" s="15">
        <f>IFERROR(__xludf.DUMMYFUNCTION("""COMPUTED_VALUE"""),54.0)</f>
        <v>54</v>
      </c>
      <c r="F5" s="17">
        <f>IFERROR(__xludf.DUMMYFUNCTION("""COMPUTED_VALUE"""),0.09)</f>
        <v>0.09</v>
      </c>
      <c r="G5" s="15" t="str">
        <f>IFERROR(__xludf.DUMMYFUNCTION("""COMPUTED_VALUE"""),"TOP")</f>
        <v>TOP</v>
      </c>
      <c r="H5" s="11"/>
      <c r="I5" s="15"/>
    </row>
    <row r="6">
      <c r="A6" s="11">
        <f>IFERROR(__xludf.DUMMYFUNCTION("""COMPUTED_VALUE"""),4431.0)</f>
        <v>4431</v>
      </c>
      <c r="B6" s="11" t="str">
        <f>IFERROR(__xludf.DUMMYFUNCTION("""COMPUTED_VALUE"""),"P")</f>
        <v>P</v>
      </c>
      <c r="C6" s="13" t="str">
        <f>IFERROR(__xludf.DUMMYFUNCTION("""COMPUTED_VALUE"""),"Carnesecchi")</f>
        <v>Carnesecchi</v>
      </c>
      <c r="D6" s="11" t="str">
        <f>IFERROR(__xludf.DUMMYFUNCTION("""COMPUTED_VALUE"""),"Atalanta")</f>
        <v>Atalanta</v>
      </c>
      <c r="E6" s="15">
        <f>IFERROR(__xludf.DUMMYFUNCTION("""COMPUTED_VALUE"""),48.0)</f>
        <v>48</v>
      </c>
      <c r="F6" s="17">
        <f>IFERROR(__xludf.DUMMYFUNCTION("""COMPUTED_VALUE"""),0.08)</f>
        <v>0.08</v>
      </c>
      <c r="G6" s="15" t="str">
        <f>IFERROR(__xludf.DUMMYFUNCTION("""COMPUTED_VALUE"""),"TOP")</f>
        <v>TOP</v>
      </c>
      <c r="H6" s="11"/>
      <c r="I6" s="15"/>
    </row>
    <row r="7">
      <c r="A7" s="11">
        <f>IFERROR(__xludf.DUMMYFUNCTION("""COMPUTED_VALUE"""),572.0)</f>
        <v>572</v>
      </c>
      <c r="B7" s="11" t="str">
        <f>IFERROR(__xludf.DUMMYFUNCTION("""COMPUTED_VALUE"""),"P")</f>
        <v>P</v>
      </c>
      <c r="C7" s="13" t="str">
        <f>IFERROR(__xludf.DUMMYFUNCTION("""COMPUTED_VALUE"""),"Meret")</f>
        <v>Meret</v>
      </c>
      <c r="D7" s="11" t="str">
        <f>IFERROR(__xludf.DUMMYFUNCTION("""COMPUTED_VALUE"""),"Napoli")</f>
        <v>Napoli</v>
      </c>
      <c r="E7" s="15">
        <f>IFERROR(__xludf.DUMMYFUNCTION("""COMPUTED_VALUE"""),45.0)</f>
        <v>45</v>
      </c>
      <c r="F7" s="17">
        <f>IFERROR(__xludf.DUMMYFUNCTION("""COMPUTED_VALUE"""),0.075)</f>
        <v>0.075</v>
      </c>
      <c r="G7" s="15" t="str">
        <f>IFERROR(__xludf.DUMMYFUNCTION("""COMPUTED_VALUE"""),"TOP")</f>
        <v>TOP</v>
      </c>
      <c r="H7" s="11"/>
      <c r="I7" s="15"/>
    </row>
    <row r="8">
      <c r="A8" s="11">
        <f>IFERROR(__xludf.DUMMYFUNCTION("""COMPUTED_VALUE"""),6966.0)</f>
        <v>6966</v>
      </c>
      <c r="B8" s="11" t="str">
        <f>IFERROR(__xludf.DUMMYFUNCTION("""COMPUTED_VALUE"""),"P")</f>
        <v>P</v>
      </c>
      <c r="C8" s="13" t="str">
        <f>IFERROR(__xludf.DUMMYFUNCTION("""COMPUTED_VALUE"""),"Butez")</f>
        <v>Butez</v>
      </c>
      <c r="D8" s="11" t="str">
        <f>IFERROR(__xludf.DUMMYFUNCTION("""COMPUTED_VALUE"""),"Como")</f>
        <v>Como</v>
      </c>
      <c r="E8" s="15">
        <f>IFERROR(__xludf.DUMMYFUNCTION("""COMPUTED_VALUE"""),42.0)</f>
        <v>42</v>
      </c>
      <c r="F8" s="17">
        <f>IFERROR(__xludf.DUMMYFUNCTION("""COMPUTED_VALUE"""),0.07)</f>
        <v>0.07</v>
      </c>
      <c r="G8" s="15" t="str">
        <f>IFERROR(__xludf.DUMMYFUNCTION("""COMPUTED_VALUE"""),"TOP")</f>
        <v>TOP</v>
      </c>
      <c r="H8" s="11"/>
      <c r="I8" s="15"/>
    </row>
    <row r="9">
      <c r="A9" s="11">
        <f>IFERROR(__xludf.DUMMYFUNCTION("""COMPUTED_VALUE"""),6482.0)</f>
        <v>6482</v>
      </c>
      <c r="B9" s="11" t="str">
        <f>IFERROR(__xludf.DUMMYFUNCTION("""COMPUTED_VALUE"""),"P")</f>
        <v>P</v>
      </c>
      <c r="C9" s="13" t="str">
        <f>IFERROR(__xludf.DUMMYFUNCTION("""COMPUTED_VALUE"""),"Mandas")</f>
        <v>Mandas</v>
      </c>
      <c r="D9" s="11" t="str">
        <f>IFERROR(__xludf.DUMMYFUNCTION("""COMPUTED_VALUE"""),"Lazio")</f>
        <v>Lazio</v>
      </c>
      <c r="E9" s="15">
        <f>IFERROR(__xludf.DUMMYFUNCTION("""COMPUTED_VALUE"""),21.0)</f>
        <v>21</v>
      </c>
      <c r="F9" s="17">
        <f>IFERROR(__xludf.DUMMYFUNCTION("""COMPUTED_VALUE"""),0.035)</f>
        <v>0.035</v>
      </c>
      <c r="G9" s="15" t="str">
        <f>IFERROR(__xludf.DUMMYFUNCTION("""COMPUTED_VALUE"""),"SEMITOP")</f>
        <v>SEMITOP</v>
      </c>
      <c r="H9" s="11" t="str">
        <f>IFERROR(__xludf.DUMMYFUNCTION("""COMPUTED_VALUE"""),"⭐")</f>
        <v>⭐</v>
      </c>
      <c r="I9" s="15"/>
    </row>
    <row r="10">
      <c r="A10" s="11">
        <f>IFERROR(__xludf.DUMMYFUNCTION("""COMPUTED_VALUE"""),2521.0)</f>
        <v>2521</v>
      </c>
      <c r="B10" s="11" t="str">
        <f>IFERROR(__xludf.DUMMYFUNCTION("""COMPUTED_VALUE"""),"P")</f>
        <v>P</v>
      </c>
      <c r="C10" s="13" t="str">
        <f>IFERROR(__xludf.DUMMYFUNCTION("""COMPUTED_VALUE"""),"De Gea")</f>
        <v>De Gea</v>
      </c>
      <c r="D10" s="11" t="str">
        <f>IFERROR(__xludf.DUMMYFUNCTION("""COMPUTED_VALUE"""),"Fiorentina")</f>
        <v>Fiorentina</v>
      </c>
      <c r="E10" s="15">
        <f>IFERROR(__xludf.DUMMYFUNCTION("""COMPUTED_VALUE"""),18.0)</f>
        <v>18</v>
      </c>
      <c r="F10" s="17">
        <f>IFERROR(__xludf.DUMMYFUNCTION("""COMPUTED_VALUE"""),0.03)</f>
        <v>0.03</v>
      </c>
      <c r="G10" s="15" t="str">
        <f>IFERROR(__xludf.DUMMYFUNCTION("""COMPUTED_VALUE"""),"SEMITOP")</f>
        <v>SEMITOP</v>
      </c>
      <c r="H10" s="11"/>
      <c r="I10" s="15"/>
      <c r="K10" s="21">
        <v>5.0</v>
      </c>
    </row>
    <row r="11">
      <c r="A11" s="11">
        <f>IFERROR(__xludf.DUMMYFUNCTION("""COMPUTED_VALUE"""),133.0)</f>
        <v>133</v>
      </c>
      <c r="B11" s="11" t="str">
        <f>IFERROR(__xludf.DUMMYFUNCTION("""COMPUTED_VALUE"""),"P")</f>
        <v>P</v>
      </c>
      <c r="C11" s="13" t="str">
        <f>IFERROR(__xludf.DUMMYFUNCTION("""COMPUTED_VALUE"""),"Skorupski")</f>
        <v>Skorupski</v>
      </c>
      <c r="D11" s="11" t="str">
        <f>IFERROR(__xludf.DUMMYFUNCTION("""COMPUTED_VALUE"""),"Bologna")</f>
        <v>Bologna</v>
      </c>
      <c r="E11" s="15">
        <f>IFERROR(__xludf.DUMMYFUNCTION("""COMPUTED_VALUE"""),18.0)</f>
        <v>18</v>
      </c>
      <c r="F11" s="17">
        <f>IFERROR(__xludf.DUMMYFUNCTION("""COMPUTED_VALUE"""),0.03)</f>
        <v>0.03</v>
      </c>
      <c r="G11" s="15" t="str">
        <f>IFERROR(__xludf.DUMMYFUNCTION("""COMPUTED_VALUE"""),"SEMITOP")</f>
        <v>SEMITOP</v>
      </c>
      <c r="H11" s="11"/>
      <c r="I11" s="15"/>
    </row>
    <row r="12">
      <c r="A12" s="11">
        <f>IFERROR(__xludf.DUMMYFUNCTION("""COMPUTED_VALUE"""),6462.0)</f>
        <v>6462</v>
      </c>
      <c r="B12" s="11" t="str">
        <f>IFERROR(__xludf.DUMMYFUNCTION("""COMPUTED_VALUE"""),"P")</f>
        <v>P</v>
      </c>
      <c r="C12" s="13" t="str">
        <f>IFERROR(__xludf.DUMMYFUNCTION("""COMPUTED_VALUE"""),"Okoye")</f>
        <v>Okoye</v>
      </c>
      <c r="D12" s="11" t="str">
        <f>IFERROR(__xludf.DUMMYFUNCTION("""COMPUTED_VALUE"""),"Udinese")</f>
        <v>Udinese</v>
      </c>
      <c r="E12" s="15">
        <f>IFERROR(__xludf.DUMMYFUNCTION("""COMPUTED_VALUE"""),12.0)</f>
        <v>12</v>
      </c>
      <c r="F12" s="17">
        <f>IFERROR(__xludf.DUMMYFUNCTION("""COMPUTED_VALUE"""),0.02)</f>
        <v>0.02</v>
      </c>
      <c r="G12" s="15" t="str">
        <f>IFERROR(__xludf.DUMMYFUNCTION("""COMPUTED_VALUE"""),"SEMITOP")</f>
        <v>SEMITOP</v>
      </c>
      <c r="H12" s="11"/>
      <c r="I12" s="15"/>
      <c r="K12" s="21">
        <v>5.0</v>
      </c>
    </row>
    <row r="13">
      <c r="A13" s="11">
        <f>IFERROR(__xludf.DUMMYFUNCTION("""COMPUTED_VALUE"""),2134.0)</f>
        <v>2134</v>
      </c>
      <c r="B13" s="11" t="str">
        <f>IFERROR(__xludf.DUMMYFUNCTION("""COMPUTED_VALUE"""),"P")</f>
        <v>P</v>
      </c>
      <c r="C13" s="11" t="str">
        <f>IFERROR(__xludf.DUMMYFUNCTION("""COMPUTED_VALUE"""),"Falcone")</f>
        <v>Falcone</v>
      </c>
      <c r="D13" s="11" t="str">
        <f>IFERROR(__xludf.DUMMYFUNCTION("""COMPUTED_VALUE"""),"Lecce")</f>
        <v>Lecce</v>
      </c>
      <c r="E13" s="15">
        <f>IFERROR(__xludf.DUMMYFUNCTION("""COMPUTED_VALUE"""),12.0)</f>
        <v>12</v>
      </c>
      <c r="F13" s="17">
        <f>IFERROR(__xludf.DUMMYFUNCTION("""COMPUTED_VALUE"""),0.02)</f>
        <v>0.02</v>
      </c>
      <c r="G13" s="15" t="str">
        <f>IFERROR(__xludf.DUMMYFUNCTION("""COMPUTED_VALUE"""),"SEMITOP")</f>
        <v>SEMITOP</v>
      </c>
      <c r="H13" s="11"/>
      <c r="I13" s="15"/>
    </row>
    <row r="14">
      <c r="A14" s="11">
        <f>IFERROR(__xludf.DUMMYFUNCTION("""COMPUTED_VALUE"""),4360.0)</f>
        <v>4360</v>
      </c>
      <c r="B14" s="11" t="str">
        <f>IFERROR(__xludf.DUMMYFUNCTION("""COMPUTED_VALUE"""),"P")</f>
        <v>P</v>
      </c>
      <c r="C14" s="11" t="str">
        <f>IFERROR(__xludf.DUMMYFUNCTION("""COMPUTED_VALUE"""),"Caprile")</f>
        <v>Caprile</v>
      </c>
      <c r="D14" s="11" t="str">
        <f>IFERROR(__xludf.DUMMYFUNCTION("""COMPUTED_VALUE"""),"Cagliari")</f>
        <v>Cagliari</v>
      </c>
      <c r="E14" s="15">
        <f>IFERROR(__xludf.DUMMYFUNCTION("""COMPUTED_VALUE"""),7.0)</f>
        <v>7</v>
      </c>
      <c r="F14" s="17">
        <f>IFERROR(__xludf.DUMMYFUNCTION("""COMPUTED_VALUE"""),0.012)</f>
        <v>0.012</v>
      </c>
      <c r="G14" s="15" t="str">
        <f>IFERROR(__xludf.DUMMYFUNCTION("""COMPUTED_VALUE"""),"SEMITOP")</f>
        <v>SEMITOP</v>
      </c>
      <c r="H14" s="11"/>
      <c r="I14" s="15"/>
    </row>
    <row r="15">
      <c r="A15" s="11">
        <f>IFERROR(__xludf.DUMMYFUNCTION("""COMPUTED_VALUE"""),7332.0)</f>
        <v>7332</v>
      </c>
      <c r="B15" s="11" t="str">
        <f>IFERROR(__xludf.DUMMYFUNCTION("""COMPUTED_VALUE"""),"P")</f>
        <v>P</v>
      </c>
      <c r="C15" s="11" t="str">
        <f>IFERROR(__xludf.DUMMYFUNCTION("""COMPUTED_VALUE"""),"Bijlow")</f>
        <v>Bijlow</v>
      </c>
      <c r="D15" s="11" t="str">
        <f>IFERROR(__xludf.DUMMYFUNCTION("""COMPUTED_VALUE"""),"Genoa")</f>
        <v>Genoa</v>
      </c>
      <c r="E15" s="15">
        <f>IFERROR(__xludf.DUMMYFUNCTION("""COMPUTED_VALUE"""),6.0)</f>
        <v>6</v>
      </c>
      <c r="F15" s="17">
        <f>IFERROR(__xludf.DUMMYFUNCTION("""COMPUTED_VALUE"""),0.01)</f>
        <v>0.01</v>
      </c>
      <c r="G15" s="15" t="str">
        <f>IFERROR(__xludf.DUMMYFUNCTION("""COMPUTED_VALUE"""),"SEMITOP")</f>
        <v>SEMITOP</v>
      </c>
      <c r="H15" s="11"/>
      <c r="I15" s="15"/>
    </row>
    <row r="16">
      <c r="A16" s="11">
        <f>IFERROR(__xludf.DUMMYFUNCTION("""COMPUTED_VALUE"""),2170.0)</f>
        <v>2170</v>
      </c>
      <c r="B16" s="11" t="str">
        <f>IFERROR(__xludf.DUMMYFUNCTION("""COMPUTED_VALUE"""),"P")</f>
        <v>P</v>
      </c>
      <c r="C16" s="11" t="str">
        <f>IFERROR(__xludf.DUMMYFUNCTION("""COMPUTED_VALUE"""),"Milinkovic-Savic V.")</f>
        <v>Milinkovic-Savic V.</v>
      </c>
      <c r="D16" s="11" t="str">
        <f>IFERROR(__xludf.DUMMYFUNCTION("""COMPUTED_VALUE"""),"Napoli")</f>
        <v>Napoli</v>
      </c>
      <c r="E16" s="15">
        <f>IFERROR(__xludf.DUMMYFUNCTION("""COMPUTED_VALUE"""),7.0)</f>
        <v>7</v>
      </c>
      <c r="F16" s="17">
        <f>IFERROR(__xludf.DUMMYFUNCTION("""COMPUTED_VALUE"""),0.012)</f>
        <v>0.012</v>
      </c>
      <c r="G16" s="15" t="str">
        <f>IFERROR(__xludf.DUMMYFUNCTION("""COMPUTED_VALUE"""),"TERZO-SLOT")</f>
        <v>TERZO-SLOT</v>
      </c>
      <c r="H16" s="11"/>
      <c r="I16" s="15"/>
    </row>
    <row r="17">
      <c r="A17" s="11">
        <f>IFERROR(__xludf.DUMMYFUNCTION("""COMPUTED_VALUE"""),2814.0)</f>
        <v>2814</v>
      </c>
      <c r="B17" s="11" t="str">
        <f>IFERROR(__xludf.DUMMYFUNCTION("""COMPUTED_VALUE"""),"P")</f>
        <v>P</v>
      </c>
      <c r="C17" s="11" t="str">
        <f>IFERROR(__xludf.DUMMYFUNCTION("""COMPUTED_VALUE"""),"Provedel")</f>
        <v>Provedel</v>
      </c>
      <c r="D17" s="11" t="str">
        <f>IFERROR(__xludf.DUMMYFUNCTION("""COMPUTED_VALUE"""),"Inter")</f>
        <v>Inter</v>
      </c>
      <c r="E17" s="15">
        <f>IFERROR(__xludf.DUMMYFUNCTION("""COMPUTED_VALUE"""),6.0)</f>
        <v>6</v>
      </c>
      <c r="F17" s="17">
        <f>IFERROR(__xludf.DUMMYFUNCTION("""COMPUTED_VALUE"""),0.01)</f>
        <v>0.01</v>
      </c>
      <c r="G17" s="15" t="str">
        <f>IFERROR(__xludf.DUMMYFUNCTION("""COMPUTED_VALUE"""),"TERZO-SLOT")</f>
        <v>TERZO-SLOT</v>
      </c>
      <c r="H17" s="11"/>
      <c r="I17" s="15"/>
    </row>
    <row r="18">
      <c r="A18" s="11">
        <f>IFERROR(__xludf.DUMMYFUNCTION("""COMPUTED_VALUE"""),6662.0)</f>
        <v>6662</v>
      </c>
      <c r="B18" s="11" t="str">
        <f>IFERROR(__xludf.DUMMYFUNCTION("""COMPUTED_VALUE"""),"P")</f>
        <v>P</v>
      </c>
      <c r="C18" s="11" t="str">
        <f>IFERROR(__xludf.DUMMYFUNCTION("""COMPUTED_VALUE"""),"Corvi")</f>
        <v>Corvi</v>
      </c>
      <c r="D18" s="11" t="str">
        <f>IFERROR(__xludf.DUMMYFUNCTION("""COMPUTED_VALUE"""),"Parma")</f>
        <v>Parma</v>
      </c>
      <c r="E18" s="15">
        <f>IFERROR(__xludf.DUMMYFUNCTION("""COMPUTED_VALUE"""),6.0)</f>
        <v>6</v>
      </c>
      <c r="F18" s="17">
        <f>IFERROR(__xludf.DUMMYFUNCTION("""COMPUTED_VALUE"""),0.01)</f>
        <v>0.01</v>
      </c>
      <c r="G18" s="15" t="str">
        <f>IFERROR(__xludf.DUMMYFUNCTION("""COMPUTED_VALUE"""),"TERZO-SLOT")</f>
        <v>TERZO-SLOT</v>
      </c>
      <c r="H18" s="11"/>
      <c r="I18" s="15"/>
    </row>
    <row r="19">
      <c r="A19" s="11">
        <f>IFERROR(__xludf.DUMMYFUNCTION("""COMPUTED_VALUE"""),6248.0)</f>
        <v>6248</v>
      </c>
      <c r="B19" s="11" t="str">
        <f>IFERROR(__xludf.DUMMYFUNCTION("""COMPUTED_VALUE"""),"P")</f>
        <v>P</v>
      </c>
      <c r="C19" s="11" t="str">
        <f>IFERROR(__xludf.DUMMYFUNCTION("""COMPUTED_VALUE"""),"Stankovic F.")</f>
        <v>Stankovic F.</v>
      </c>
      <c r="D19" s="11" t="str">
        <f>IFERROR(__xludf.DUMMYFUNCTION("""COMPUTED_VALUE"""),"Venezia")</f>
        <v>Venezia</v>
      </c>
      <c r="E19" s="15">
        <f>IFERROR(__xludf.DUMMYFUNCTION("""COMPUTED_VALUE"""),5.0)</f>
        <v>5</v>
      </c>
      <c r="F19" s="17">
        <f>IFERROR(__xludf.DUMMYFUNCTION("""COMPUTED_VALUE"""),0.008)</f>
        <v>0.008</v>
      </c>
      <c r="G19" s="15" t="str">
        <f>IFERROR(__xludf.DUMMYFUNCTION("""COMPUTED_VALUE"""),"TERZO-SLOT")</f>
        <v>TERZO-SLOT</v>
      </c>
      <c r="H19" s="11"/>
      <c r="I19" s="15"/>
    </row>
    <row r="20">
      <c r="A20" s="11">
        <f>IFERROR(__xludf.DUMMYFUNCTION("""COMPUTED_VALUE"""),6534.0)</f>
        <v>6534</v>
      </c>
      <c r="B20" s="11" t="str">
        <f>IFERROR(__xludf.DUMMYFUNCTION("""COMPUTED_VALUE"""),"P")</f>
        <v>P</v>
      </c>
      <c r="C20" s="11" t="str">
        <f>IFERROR(__xludf.DUMMYFUNCTION("""COMPUTED_VALUE"""),"Perri")</f>
        <v>Perri</v>
      </c>
      <c r="D20" s="11" t="str">
        <f>IFERROR(__xludf.DUMMYFUNCTION("""COMPUTED_VALUE"""),"Torino")</f>
        <v>Torino</v>
      </c>
      <c r="E20" s="15">
        <f>IFERROR(__xludf.DUMMYFUNCTION("""COMPUTED_VALUE"""),4.0)</f>
        <v>4</v>
      </c>
      <c r="F20" s="17">
        <f>IFERROR(__xludf.DUMMYFUNCTION("""COMPUTED_VALUE"""),0.006)</f>
        <v>0.006</v>
      </c>
      <c r="G20" s="15" t="str">
        <f>IFERROR(__xludf.DUMMYFUNCTION("""COMPUTED_VALUE"""),"TERZO-SLOT")</f>
        <v>TERZO-SLOT</v>
      </c>
      <c r="H20" s="11"/>
      <c r="I20" s="15"/>
      <c r="K20" s="21">
        <v>1.0</v>
      </c>
    </row>
    <row r="21">
      <c r="A21" s="11">
        <f>IFERROR(__xludf.DUMMYFUNCTION("""COMPUTED_VALUE"""),4236.0)</f>
        <v>4236</v>
      </c>
      <c r="B21" s="11" t="str">
        <f>IFERROR(__xludf.DUMMYFUNCTION("""COMPUTED_VALUE"""),"P")</f>
        <v>P</v>
      </c>
      <c r="C21" s="11" t="str">
        <f>IFERROR(__xludf.DUMMYFUNCTION("""COMPUTED_VALUE"""),"Muric")</f>
        <v>Muric</v>
      </c>
      <c r="D21" s="11" t="str">
        <f>IFERROR(__xludf.DUMMYFUNCTION("""COMPUTED_VALUE"""),"Sassuolo")</f>
        <v>Sassuolo</v>
      </c>
      <c r="E21" s="15">
        <f>IFERROR(__xludf.DUMMYFUNCTION("""COMPUTED_VALUE"""),2.0)</f>
        <v>2</v>
      </c>
      <c r="F21" s="17">
        <f>IFERROR(__xludf.DUMMYFUNCTION("""COMPUTED_VALUE"""),0.004)</f>
        <v>0.004</v>
      </c>
      <c r="G21" s="15" t="str">
        <f>IFERROR(__xludf.DUMMYFUNCTION("""COMPUTED_VALUE"""),"TERZO-SLOT")</f>
        <v>TERZO-SLOT</v>
      </c>
      <c r="H21" s="11"/>
      <c r="I21" s="15"/>
    </row>
    <row r="22">
      <c r="A22" s="11">
        <f>IFERROR(__xludf.DUMMYFUNCTION("""COMPUTED_VALUE"""),6344.0)</f>
        <v>6344</v>
      </c>
      <c r="B22" s="11" t="str">
        <f>IFERROR(__xludf.DUMMYFUNCTION("""COMPUTED_VALUE"""),"P")</f>
        <v>P</v>
      </c>
      <c r="C22" s="11" t="str">
        <f>IFERROR(__xludf.DUMMYFUNCTION("""COMPUTED_VALUE"""),"Sanchez Ro.")</f>
        <v>Sanchez Ro.</v>
      </c>
      <c r="D22" s="11" t="str">
        <f>IFERROR(__xludf.DUMMYFUNCTION("""COMPUTED_VALUE"""),"Como")</f>
        <v>Como</v>
      </c>
      <c r="E22" s="15">
        <f>IFERROR(__xludf.DUMMYFUNCTION("""COMPUTED_VALUE"""),1.0)</f>
        <v>1</v>
      </c>
      <c r="F22" s="17">
        <f>IFERROR(__xludf.DUMMYFUNCTION("""COMPUTED_VALUE"""),0.002)</f>
        <v>0.002</v>
      </c>
      <c r="G22" s="15" t="str">
        <f>IFERROR(__xludf.DUMMYFUNCTION("""COMPUTED_VALUE"""),"TERZO-SLOT")</f>
        <v>TERZO-SLOT</v>
      </c>
      <c r="H22" s="11"/>
      <c r="I22" s="15"/>
    </row>
    <row r="23">
      <c r="A23" s="11">
        <f>IFERROR(__xludf.DUMMYFUNCTION("""COMPUTED_VALUE"""),7411.0)</f>
        <v>7411</v>
      </c>
      <c r="B23" s="11" t="str">
        <f>IFERROR(__xludf.DUMMYFUNCTION("""COMPUTED_VALUE"""),"P")</f>
        <v>P</v>
      </c>
      <c r="C23" s="11" t="str">
        <f>IFERROR(__xludf.DUMMYFUNCTION("""COMPUTED_VALUE"""),"Daffara")</f>
        <v>Daffara</v>
      </c>
      <c r="D23" s="11" t="str">
        <f>IFERROR(__xludf.DUMMYFUNCTION("""COMPUTED_VALUE"""),"Parma")</f>
        <v>Parma</v>
      </c>
      <c r="E23" s="15">
        <f>IFERROR(__xludf.DUMMYFUNCTION("""COMPUTED_VALUE"""),1.0)</f>
        <v>1</v>
      </c>
      <c r="F23" s="17">
        <f>IFERROR(__xludf.DUMMYFUNCTION("""COMPUTED_VALUE"""),0.002)</f>
        <v>0.002</v>
      </c>
      <c r="G23" s="15" t="str">
        <f>IFERROR(__xludf.DUMMYFUNCTION("""COMPUTED_VALUE"""),"TERZO-SLOT")</f>
        <v>TERZO-SLOT</v>
      </c>
      <c r="H23" s="11"/>
      <c r="I23" s="15"/>
    </row>
    <row r="24">
      <c r="A24" s="11">
        <f>IFERROR(__xludf.DUMMYFUNCTION("""COMPUTED_VALUE"""),7301.0)</f>
        <v>7301</v>
      </c>
      <c r="B24" s="11" t="str">
        <f>IFERROR(__xludf.DUMMYFUNCTION("""COMPUTED_VALUE"""),"P")</f>
        <v>P</v>
      </c>
      <c r="C24" s="11" t="str">
        <f>IFERROR(__xludf.DUMMYFUNCTION("""COMPUTED_VALUE"""),"Tornqvist")</f>
        <v>Tornqvist</v>
      </c>
      <c r="D24" s="11" t="str">
        <f>IFERROR(__xludf.DUMMYFUNCTION("""COMPUTED_VALUE"""),"Monza")</f>
        <v>Monza</v>
      </c>
      <c r="E24" s="15">
        <f>IFERROR(__xludf.DUMMYFUNCTION("""COMPUTED_VALUE"""),6.0)</f>
        <v>6</v>
      </c>
      <c r="F24" s="17">
        <f>IFERROR(__xludf.DUMMYFUNCTION("""COMPUTED_VALUE"""),0.01)</f>
        <v>0.01</v>
      </c>
      <c r="G24" s="15"/>
      <c r="H24" s="11"/>
      <c r="I24" s="15"/>
    </row>
    <row r="25">
      <c r="A25" s="11">
        <f>IFERROR(__xludf.DUMMYFUNCTION("""COMPUTED_VALUE"""),7457.0)</f>
        <v>7457</v>
      </c>
      <c r="B25" s="11" t="str">
        <f>IFERROR(__xludf.DUMMYFUNCTION("""COMPUTED_VALUE"""),"P")</f>
        <v>P</v>
      </c>
      <c r="C25" s="11" t="str">
        <f>IFERROR(__xludf.DUMMYFUNCTION("""COMPUTED_VALUE"""),"Mascardi")</f>
        <v>Mascardi</v>
      </c>
      <c r="D25" s="11" t="str">
        <f>IFERROR(__xludf.DUMMYFUNCTION("""COMPUTED_VALUE"""),"Torino")</f>
        <v>Torino</v>
      </c>
      <c r="E25" s="15">
        <f>IFERROR(__xludf.DUMMYFUNCTION("""COMPUTED_VALUE"""),3.0)</f>
        <v>3</v>
      </c>
      <c r="F25" s="17">
        <f>IFERROR(__xludf.DUMMYFUNCTION("""COMPUTED_VALUE"""),0.005)</f>
        <v>0.005</v>
      </c>
      <c r="G25" s="15"/>
      <c r="H25" s="11"/>
      <c r="I25" s="15"/>
    </row>
    <row r="26">
      <c r="A26" s="11">
        <f>IFERROR(__xludf.DUMMYFUNCTION("""COMPUTED_VALUE"""),6415.0)</f>
        <v>6415</v>
      </c>
      <c r="B26" s="11" t="str">
        <f>IFERROR(__xludf.DUMMYFUNCTION("""COMPUTED_VALUE"""),"P")</f>
        <v>P</v>
      </c>
      <c r="C26" s="11" t="str">
        <f>IFERROR(__xludf.DUMMYFUNCTION("""COMPUTED_VALUE"""),"Palmisani")</f>
        <v>Palmisani</v>
      </c>
      <c r="D26" s="11" t="str">
        <f>IFERROR(__xludf.DUMMYFUNCTION("""COMPUTED_VALUE"""),"Frosinone")</f>
        <v>Frosinone</v>
      </c>
      <c r="E26" s="15">
        <f>IFERROR(__xludf.DUMMYFUNCTION("""COMPUTED_VALUE"""),1.0)</f>
        <v>1</v>
      </c>
      <c r="F26" s="17">
        <f>IFERROR(__xludf.DUMMYFUNCTION("""COMPUTED_VALUE"""),0.002)</f>
        <v>0.002</v>
      </c>
      <c r="G26" s="15"/>
      <c r="H26" s="11"/>
      <c r="I26" s="15"/>
    </row>
    <row r="27">
      <c r="A27" s="11">
        <f>IFERROR(__xludf.DUMMYFUNCTION("""COMPUTED_VALUE"""),4485.0)</f>
        <v>4485</v>
      </c>
      <c r="B27" s="11" t="str">
        <f>IFERROR(__xludf.DUMMYFUNCTION("""COMPUTED_VALUE"""),"P")</f>
        <v>P</v>
      </c>
      <c r="C27" s="11" t="str">
        <f>IFERROR(__xludf.DUMMYFUNCTION("""COMPUTED_VALUE"""),"Thiam")</f>
        <v>Thiam</v>
      </c>
      <c r="D27" s="11" t="str">
        <f>IFERROR(__xludf.DUMMYFUNCTION("""COMPUTED_VALUE"""),"Monza")</f>
        <v>Monza</v>
      </c>
      <c r="E27" s="15">
        <f>IFERROR(__xludf.DUMMYFUNCTION("""COMPUTED_VALUE"""),1.0)</f>
        <v>1</v>
      </c>
      <c r="F27" s="17">
        <f>IFERROR(__xludf.DUMMYFUNCTION("""COMPUTED_VALUE"""),0.002)</f>
        <v>0.002</v>
      </c>
      <c r="G27" s="15"/>
      <c r="H27" s="11"/>
      <c r="I27" s="15"/>
    </row>
    <row r="28">
      <c r="A28" s="11">
        <f>IFERROR(__xludf.DUMMYFUNCTION("""COMPUTED_VALUE"""),7463.0)</f>
        <v>7463</v>
      </c>
      <c r="B28" s="11" t="str">
        <f>IFERROR(__xludf.DUMMYFUNCTION("""COMPUTED_VALUE"""),"P")</f>
        <v>P</v>
      </c>
      <c r="C28" s="11" t="str">
        <f>IFERROR(__xludf.DUMMYFUNCTION("""COMPUTED_VALUE"""),"Desplanches")</f>
        <v>Desplanches</v>
      </c>
      <c r="D28" s="11" t="str">
        <f>IFERROR(__xludf.DUMMYFUNCTION("""COMPUTED_VALUE"""),"Frosinone")</f>
        <v>Frosinone</v>
      </c>
      <c r="E28" s="15">
        <f>IFERROR(__xludf.DUMMYFUNCTION("""COMPUTED_VALUE"""),1.0)</f>
        <v>1</v>
      </c>
      <c r="F28" s="17">
        <f>IFERROR(__xludf.DUMMYFUNCTION("""COMPUTED_VALUE"""),0.001)</f>
        <v>0.001</v>
      </c>
      <c r="G28" s="15"/>
      <c r="H28" s="11"/>
      <c r="I28" s="15"/>
    </row>
    <row r="29">
      <c r="A29" s="11">
        <f>IFERROR(__xludf.DUMMYFUNCTION("""COMPUTED_VALUE"""),4.0)</f>
        <v>4</v>
      </c>
      <c r="B29" s="11" t="str">
        <f>IFERROR(__xludf.DUMMYFUNCTION("""COMPUTED_VALUE"""),"P")</f>
        <v>P</v>
      </c>
      <c r="C29" s="11" t="str">
        <f>IFERROR(__xludf.DUMMYFUNCTION("""COMPUTED_VALUE"""),"Sportiello")</f>
        <v>Sportiello</v>
      </c>
      <c r="D29" s="11" t="str">
        <f>IFERROR(__xludf.DUMMYFUNCTION("""COMPUTED_VALUE"""),"Atalanta")</f>
        <v>Atalanta</v>
      </c>
      <c r="E29" s="15">
        <f>IFERROR(__xludf.DUMMYFUNCTION("""COMPUTED_VALUE"""),1.0)</f>
        <v>1</v>
      </c>
      <c r="F29" s="17">
        <f>IFERROR(__xludf.DUMMYFUNCTION("""COMPUTED_VALUE"""),0.001)</f>
        <v>0.001</v>
      </c>
      <c r="G29" s="15"/>
      <c r="H29" s="11"/>
      <c r="I29" s="15"/>
    </row>
    <row r="30">
      <c r="A30" s="11">
        <f>IFERROR(__xludf.DUMMYFUNCTION("""COMPUTED_VALUE"""),7533.0)</f>
        <v>7533</v>
      </c>
      <c r="B30" s="11" t="str">
        <f>IFERROR(__xludf.DUMMYFUNCTION("""COMPUTED_VALUE"""),"P")</f>
        <v>P</v>
      </c>
      <c r="C30" s="11" t="str">
        <f>IFERROR(__xludf.DUMMYFUNCTION("""COMPUTED_VALUE"""),"Happonen")</f>
        <v>Happonen</v>
      </c>
      <c r="D30" s="11" t="str">
        <f>IFERROR(__xludf.DUMMYFUNCTION("""COMPUTED_VALUE"""),"Bologna")</f>
        <v>Bologna</v>
      </c>
      <c r="E30" s="15">
        <f>IFERROR(__xludf.DUMMYFUNCTION("""COMPUTED_VALUE"""),1.0)</f>
        <v>1</v>
      </c>
      <c r="F30" s="17">
        <f>IFERROR(__xludf.DUMMYFUNCTION("""COMPUTED_VALUE"""),0.001)</f>
        <v>0.001</v>
      </c>
      <c r="G30" s="15"/>
      <c r="H30" s="11"/>
      <c r="I30" s="15"/>
    </row>
    <row r="31">
      <c r="A31" s="11">
        <f>IFERROR(__xludf.DUMMYFUNCTION("""COMPUTED_VALUE"""),7172.0)</f>
        <v>7172</v>
      </c>
      <c r="B31" s="11" t="str">
        <f>IFERROR(__xludf.DUMMYFUNCTION("""COMPUTED_VALUE"""),"P")</f>
        <v>P</v>
      </c>
      <c r="C31" s="11" t="str">
        <f>IFERROR(__xludf.DUMMYFUNCTION("""COMPUTED_VALUE"""),"Pessina Mas.")</f>
        <v>Pessina Mas.</v>
      </c>
      <c r="D31" s="11" t="str">
        <f>IFERROR(__xludf.DUMMYFUNCTION("""COMPUTED_VALUE"""),"Bologna")</f>
        <v>Bologna</v>
      </c>
      <c r="E31" s="15">
        <f>IFERROR(__xludf.DUMMYFUNCTION("""COMPUTED_VALUE"""),1.0)</f>
        <v>1</v>
      </c>
      <c r="F31" s="17">
        <f>IFERROR(__xludf.DUMMYFUNCTION("""COMPUTED_VALUE"""),0.001)</f>
        <v>0.001</v>
      </c>
      <c r="G31" s="15"/>
      <c r="H31" s="11"/>
      <c r="I31" s="15"/>
    </row>
    <row r="32">
      <c r="A32" s="11">
        <f>IFERROR(__xludf.DUMMYFUNCTION("""COMPUTED_VALUE"""),6650.0)</f>
        <v>6650</v>
      </c>
      <c r="B32" s="11" t="str">
        <f>IFERROR(__xludf.DUMMYFUNCTION("""COMPUTED_VALUE"""),"P")</f>
        <v>P</v>
      </c>
      <c r="C32" s="11" t="str">
        <f>IFERROR(__xludf.DUMMYFUNCTION("""COMPUTED_VALUE"""),"Sherri")</f>
        <v>Sherri</v>
      </c>
      <c r="D32" s="11" t="str">
        <f>IFERROR(__xludf.DUMMYFUNCTION("""COMPUTED_VALUE"""),"Cagliari")</f>
        <v>Cagliari</v>
      </c>
      <c r="E32" s="15">
        <f>IFERROR(__xludf.DUMMYFUNCTION("""COMPUTED_VALUE"""),1.0)</f>
        <v>1</v>
      </c>
      <c r="F32" s="17">
        <f>IFERROR(__xludf.DUMMYFUNCTION("""COMPUTED_VALUE"""),0.001)</f>
        <v>0.001</v>
      </c>
      <c r="G32" s="15"/>
      <c r="H32" s="11"/>
      <c r="I32" s="15"/>
    </row>
    <row r="33">
      <c r="A33" s="11">
        <f>IFERROR(__xludf.DUMMYFUNCTION("""COMPUTED_VALUE"""),2809.0)</f>
        <v>2809</v>
      </c>
      <c r="B33" s="11" t="str">
        <f>IFERROR(__xludf.DUMMYFUNCTION("""COMPUTED_VALUE"""),"P")</f>
        <v>P</v>
      </c>
      <c r="C33" s="11" t="str">
        <f>IFERROR(__xludf.DUMMYFUNCTION("""COMPUTED_VALUE"""),"Vigorito")</f>
        <v>Vigorito</v>
      </c>
      <c r="D33" s="11" t="str">
        <f>IFERROR(__xludf.DUMMYFUNCTION("""COMPUTED_VALUE"""),"Como")</f>
        <v>Como</v>
      </c>
      <c r="E33" s="15">
        <f>IFERROR(__xludf.DUMMYFUNCTION("""COMPUTED_VALUE"""),1.0)</f>
        <v>1</v>
      </c>
      <c r="F33" s="17">
        <f>IFERROR(__xludf.DUMMYFUNCTION("""COMPUTED_VALUE"""),0.001)</f>
        <v>0.001</v>
      </c>
      <c r="G33" s="15"/>
      <c r="H33" s="11"/>
      <c r="I33" s="15"/>
    </row>
    <row r="34">
      <c r="A34" s="11">
        <f>IFERROR(__xludf.DUMMYFUNCTION("""COMPUTED_VALUE"""),6403.0)</f>
        <v>6403</v>
      </c>
      <c r="B34" s="11" t="str">
        <f>IFERROR(__xludf.DUMMYFUNCTION("""COMPUTED_VALUE"""),"P")</f>
        <v>P</v>
      </c>
      <c r="C34" s="11" t="str">
        <f>IFERROR(__xludf.DUMMYFUNCTION("""COMPUTED_VALUE"""),"Christensen O.")</f>
        <v>Christensen O.</v>
      </c>
      <c r="D34" s="11" t="str">
        <f>IFERROR(__xludf.DUMMYFUNCTION("""COMPUTED_VALUE"""),"Fiorentina")</f>
        <v>Fiorentina</v>
      </c>
      <c r="E34" s="15">
        <f>IFERROR(__xludf.DUMMYFUNCTION("""COMPUTED_VALUE"""),1.0)</f>
        <v>1</v>
      </c>
      <c r="F34" s="17">
        <f>IFERROR(__xludf.DUMMYFUNCTION("""COMPUTED_VALUE"""),0.001)</f>
        <v>0.001</v>
      </c>
      <c r="G34" s="15"/>
      <c r="H34" s="11"/>
      <c r="I34" s="15"/>
    </row>
    <row r="35">
      <c r="A35" s="11">
        <f>IFERROR(__xludf.DUMMYFUNCTION("""COMPUTED_VALUE"""),158.0)</f>
        <v>158</v>
      </c>
      <c r="B35" s="11" t="str">
        <f>IFERROR(__xludf.DUMMYFUNCTION("""COMPUTED_VALUE"""),"P")</f>
        <v>P</v>
      </c>
      <c r="C35" s="11" t="str">
        <f>IFERROR(__xludf.DUMMYFUNCTION("""COMPUTED_VALUE"""),"Lezzerini")</f>
        <v>Lezzerini</v>
      </c>
      <c r="D35" s="11" t="str">
        <f>IFERROR(__xludf.DUMMYFUNCTION("""COMPUTED_VALUE"""),"Fiorentina")</f>
        <v>Fiorentina</v>
      </c>
      <c r="E35" s="15">
        <f>IFERROR(__xludf.DUMMYFUNCTION("""COMPUTED_VALUE"""),1.0)</f>
        <v>1</v>
      </c>
      <c r="F35" s="17">
        <f>IFERROR(__xludf.DUMMYFUNCTION("""COMPUTED_VALUE"""),0.001)</f>
        <v>0.001</v>
      </c>
      <c r="G35" s="15"/>
      <c r="H35" s="11"/>
      <c r="I35" s="15"/>
    </row>
    <row r="36">
      <c r="A36" s="11">
        <f>IFERROR(__xludf.DUMMYFUNCTION("""COMPUTED_VALUE"""),7466.0)</f>
        <v>7466</v>
      </c>
      <c r="B36" s="11" t="str">
        <f>IFERROR(__xludf.DUMMYFUNCTION("""COMPUTED_VALUE"""),"P")</f>
        <v>P</v>
      </c>
      <c r="C36" s="11" t="str">
        <f>IFERROR(__xludf.DUMMYFUNCTION("""COMPUTED_VALUE"""),"Lolic")</f>
        <v>Lolic</v>
      </c>
      <c r="D36" s="11" t="str">
        <f>IFERROR(__xludf.DUMMYFUNCTION("""COMPUTED_VALUE"""),"Frosinone")</f>
        <v>Frosinone</v>
      </c>
      <c r="E36" s="15">
        <f>IFERROR(__xludf.DUMMYFUNCTION("""COMPUTED_VALUE"""),1.0)</f>
        <v>1</v>
      </c>
      <c r="F36" s="17">
        <f>IFERROR(__xludf.DUMMYFUNCTION("""COMPUTED_VALUE"""),0.001)</f>
        <v>0.001</v>
      </c>
      <c r="G36" s="15"/>
      <c r="H36" s="11"/>
      <c r="I36" s="15"/>
    </row>
    <row r="37">
      <c r="A37" s="11">
        <f>IFERROR(__xludf.DUMMYFUNCTION("""COMPUTED_VALUE"""),219.0)</f>
        <v>219</v>
      </c>
      <c r="B37" s="11" t="str">
        <f>IFERROR(__xludf.DUMMYFUNCTION("""COMPUTED_VALUE"""),"P")</f>
        <v>P</v>
      </c>
      <c r="C37" s="11" t="str">
        <f>IFERROR(__xludf.DUMMYFUNCTION("""COMPUTED_VALUE"""),"Sommariva")</f>
        <v>Sommariva</v>
      </c>
      <c r="D37" s="11" t="str">
        <f>IFERROR(__xludf.DUMMYFUNCTION("""COMPUTED_VALUE"""),"Genoa")</f>
        <v>Genoa</v>
      </c>
      <c r="E37" s="15">
        <f>IFERROR(__xludf.DUMMYFUNCTION("""COMPUTED_VALUE"""),1.0)</f>
        <v>1</v>
      </c>
      <c r="F37" s="17">
        <f>IFERROR(__xludf.DUMMYFUNCTION("""COMPUTED_VALUE"""),0.001)</f>
        <v>0.001</v>
      </c>
      <c r="G37" s="15"/>
      <c r="H37" s="11"/>
      <c r="I37" s="15"/>
    </row>
    <row r="38">
      <c r="A38" s="11">
        <f>IFERROR(__xludf.DUMMYFUNCTION("""COMPUTED_VALUE"""),6569.0)</f>
        <v>6569</v>
      </c>
      <c r="B38" s="11" t="str">
        <f>IFERROR(__xludf.DUMMYFUNCTION("""COMPUTED_VALUE"""),"P")</f>
        <v>P</v>
      </c>
      <c r="C38" s="11" t="str">
        <f>IFERROR(__xludf.DUMMYFUNCTION("""COMPUTED_VALUE"""),"Stolz")</f>
        <v>Stolz</v>
      </c>
      <c r="D38" s="11" t="str">
        <f>IFERROR(__xludf.DUMMYFUNCTION("""COMPUTED_VALUE"""),"Genoa")</f>
        <v>Genoa</v>
      </c>
      <c r="E38" s="15">
        <f>IFERROR(__xludf.DUMMYFUNCTION("""COMPUTED_VALUE"""),1.0)</f>
        <v>1</v>
      </c>
      <c r="F38" s="17">
        <f>IFERROR(__xludf.DUMMYFUNCTION("""COMPUTED_VALUE"""),0.001)</f>
        <v>0.001</v>
      </c>
      <c r="G38" s="15"/>
      <c r="H38" s="11"/>
      <c r="I38" s="15"/>
    </row>
    <row r="39">
      <c r="A39" s="11">
        <f>IFERROR(__xludf.DUMMYFUNCTION("""COMPUTED_VALUE"""),1926.0)</f>
        <v>1926</v>
      </c>
      <c r="B39" s="11" t="str">
        <f>IFERROR(__xludf.DUMMYFUNCTION("""COMPUTED_VALUE"""),"P")</f>
        <v>P</v>
      </c>
      <c r="C39" s="11" t="str">
        <f>IFERROR(__xludf.DUMMYFUNCTION("""COMPUTED_VALUE"""),"Di Gennaro")</f>
        <v>Di Gennaro</v>
      </c>
      <c r="D39" s="11" t="str">
        <f>IFERROR(__xludf.DUMMYFUNCTION("""COMPUTED_VALUE"""),"Inter")</f>
        <v>Inter</v>
      </c>
      <c r="E39" s="15">
        <f>IFERROR(__xludf.DUMMYFUNCTION("""COMPUTED_VALUE"""),1.0)</f>
        <v>1</v>
      </c>
      <c r="F39" s="17">
        <f>IFERROR(__xludf.DUMMYFUNCTION("""COMPUTED_VALUE"""),0.001)</f>
        <v>0.001</v>
      </c>
      <c r="G39" s="15"/>
      <c r="H39" s="11"/>
      <c r="I39" s="15"/>
    </row>
    <row r="40">
      <c r="A40" s="11">
        <f>IFERROR(__xludf.DUMMYFUNCTION("""COMPUTED_VALUE"""),1930.0)</f>
        <v>1930</v>
      </c>
      <c r="B40" s="11" t="str">
        <f>IFERROR(__xludf.DUMMYFUNCTION("""COMPUTED_VALUE"""),"P")</f>
        <v>P</v>
      </c>
      <c r="C40" s="11" t="str">
        <f>IFERROR(__xludf.DUMMYFUNCTION("""COMPUTED_VALUE"""),"Pinsoglio")</f>
        <v>Pinsoglio</v>
      </c>
      <c r="D40" s="11" t="str">
        <f>IFERROR(__xludf.DUMMYFUNCTION("""COMPUTED_VALUE"""),"Juventus")</f>
        <v>Juventus</v>
      </c>
      <c r="E40" s="15">
        <f>IFERROR(__xludf.DUMMYFUNCTION("""COMPUTED_VALUE"""),1.0)</f>
        <v>1</v>
      </c>
      <c r="F40" s="17">
        <f>IFERROR(__xludf.DUMMYFUNCTION("""COMPUTED_VALUE"""),0.001)</f>
        <v>0.001</v>
      </c>
      <c r="G40" s="15"/>
      <c r="H40" s="11"/>
      <c r="I40" s="15"/>
    </row>
    <row r="41">
      <c r="A41" s="11">
        <f>IFERROR(__xludf.DUMMYFUNCTION("""COMPUTED_VALUE"""),7337.0)</f>
        <v>7337</v>
      </c>
      <c r="B41" s="11" t="str">
        <f>IFERROR(__xludf.DUMMYFUNCTION("""COMPUTED_VALUE"""),"P")</f>
        <v>P</v>
      </c>
      <c r="C41" s="11" t="str">
        <f>IFERROR(__xludf.DUMMYFUNCTION("""COMPUTED_VALUE"""),"Motta")</f>
        <v>Motta</v>
      </c>
      <c r="D41" s="11" t="str">
        <f>IFERROR(__xludf.DUMMYFUNCTION("""COMPUTED_VALUE"""),"Lazio")</f>
        <v>Lazio</v>
      </c>
      <c r="E41" s="15">
        <f>IFERROR(__xludf.DUMMYFUNCTION("""COMPUTED_VALUE"""),1.0)</f>
        <v>1</v>
      </c>
      <c r="F41" s="17">
        <f>IFERROR(__xludf.DUMMYFUNCTION("""COMPUTED_VALUE"""),0.001)</f>
        <v>0.001</v>
      </c>
      <c r="G41" s="15"/>
      <c r="H41" s="11"/>
      <c r="I41" s="15"/>
    </row>
    <row r="42">
      <c r="A42" s="11">
        <f>IFERROR(__xludf.DUMMYFUNCTION("""COMPUTED_VALUE"""),7534.0)</f>
        <v>7534</v>
      </c>
      <c r="B42" s="11" t="str">
        <f>IFERROR(__xludf.DUMMYFUNCTION("""COMPUTED_VALUE"""),"P")</f>
        <v>P</v>
      </c>
      <c r="C42" s="11" t="str">
        <f>IFERROR(__xludf.DUMMYFUNCTION("""COMPUTED_VALUE"""),"Renzetti")</f>
        <v>Renzetti</v>
      </c>
      <c r="D42" s="11" t="str">
        <f>IFERROR(__xludf.DUMMYFUNCTION("""COMPUTED_VALUE"""),"Lazio")</f>
        <v>Lazio</v>
      </c>
      <c r="E42" s="15">
        <f>IFERROR(__xludf.DUMMYFUNCTION("""COMPUTED_VALUE"""),1.0)</f>
        <v>1</v>
      </c>
      <c r="F42" s="17">
        <f>IFERROR(__xludf.DUMMYFUNCTION("""COMPUTED_VALUE"""),0.001)</f>
        <v>0.001</v>
      </c>
      <c r="G42" s="15"/>
      <c r="H42" s="11"/>
      <c r="I42" s="15"/>
    </row>
    <row r="43">
      <c r="A43" s="11">
        <f>IFERROR(__xludf.DUMMYFUNCTION("""COMPUTED_VALUE"""),2815.0)</f>
        <v>2815</v>
      </c>
      <c r="B43" s="11" t="str">
        <f>IFERROR(__xludf.DUMMYFUNCTION("""COMPUTED_VALUE"""),"P")</f>
        <v>P</v>
      </c>
      <c r="C43" s="11" t="str">
        <f>IFERROR(__xludf.DUMMYFUNCTION("""COMPUTED_VALUE"""),"Terracciano")</f>
        <v>Terracciano</v>
      </c>
      <c r="D43" s="11" t="str">
        <f>IFERROR(__xludf.DUMMYFUNCTION("""COMPUTED_VALUE"""),"Milan")</f>
        <v>Milan</v>
      </c>
      <c r="E43" s="15">
        <f>IFERROR(__xludf.DUMMYFUNCTION("""COMPUTED_VALUE"""),1.0)</f>
        <v>1</v>
      </c>
      <c r="F43" s="17">
        <f>IFERROR(__xludf.DUMMYFUNCTION("""COMPUTED_VALUE"""),0.001)</f>
        <v>0.001</v>
      </c>
      <c r="G43" s="15"/>
      <c r="H43" s="11"/>
      <c r="I43" s="15"/>
    </row>
    <row r="44">
      <c r="A44" s="11">
        <f>IFERROR(__xludf.DUMMYFUNCTION("""COMPUTED_VALUE"""),6813.0)</f>
        <v>6813</v>
      </c>
      <c r="B44" s="11" t="str">
        <f>IFERROR(__xludf.DUMMYFUNCTION("""COMPUTED_VALUE"""),"P")</f>
        <v>P</v>
      </c>
      <c r="C44" s="11" t="str">
        <f>IFERROR(__xludf.DUMMYFUNCTION("""COMPUTED_VALUE"""),"Torriani")</f>
        <v>Torriani</v>
      </c>
      <c r="D44" s="11" t="str">
        <f>IFERROR(__xludf.DUMMYFUNCTION("""COMPUTED_VALUE"""),"Milan")</f>
        <v>Milan</v>
      </c>
      <c r="E44" s="15">
        <f>IFERROR(__xludf.DUMMYFUNCTION("""COMPUTED_VALUE"""),1.0)</f>
        <v>1</v>
      </c>
      <c r="F44" s="17">
        <f>IFERROR(__xludf.DUMMYFUNCTION("""COMPUTED_VALUE"""),0.001)</f>
        <v>0.001</v>
      </c>
      <c r="G44" s="15"/>
      <c r="H44" s="11"/>
      <c r="I44" s="15"/>
    </row>
    <row r="45">
      <c r="A45" s="11">
        <f>IFERROR(__xludf.DUMMYFUNCTION("""COMPUTED_VALUE"""),7475.0)</f>
        <v>7475</v>
      </c>
      <c r="B45" s="11" t="str">
        <f>IFERROR(__xludf.DUMMYFUNCTION("""COMPUTED_VALUE"""),"P")</f>
        <v>P</v>
      </c>
      <c r="C45" s="11" t="str">
        <f>IFERROR(__xludf.DUMMYFUNCTION("""COMPUTED_VALUE"""),"Strajnar")</f>
        <v>Strajnar</v>
      </c>
      <c r="D45" s="11" t="str">
        <f>IFERROR(__xludf.DUMMYFUNCTION("""COMPUTED_VALUE"""),"Monza")</f>
        <v>Monza</v>
      </c>
      <c r="E45" s="15">
        <f>IFERROR(__xludf.DUMMYFUNCTION("""COMPUTED_VALUE"""),1.0)</f>
        <v>1</v>
      </c>
      <c r="F45" s="17">
        <f>IFERROR(__xludf.DUMMYFUNCTION("""COMPUTED_VALUE"""),0.001)</f>
        <v>0.001</v>
      </c>
      <c r="G45" s="15"/>
      <c r="H45" s="11"/>
      <c r="I45" s="15"/>
    </row>
    <row r="46">
      <c r="A46" s="11">
        <f>IFERROR(__xludf.DUMMYFUNCTION("""COMPUTED_VALUE"""),2845.0)</f>
        <v>2845</v>
      </c>
      <c r="B46" s="11" t="str">
        <f>IFERROR(__xludf.DUMMYFUNCTION("""COMPUTED_VALUE"""),"P")</f>
        <v>P</v>
      </c>
      <c r="C46" s="11" t="str">
        <f>IFERROR(__xludf.DUMMYFUNCTION("""COMPUTED_VALUE"""),"Contini")</f>
        <v>Contini</v>
      </c>
      <c r="D46" s="11" t="str">
        <f>IFERROR(__xludf.DUMMYFUNCTION("""COMPUTED_VALUE"""),"Napoli")</f>
        <v>Napoli</v>
      </c>
      <c r="E46" s="15">
        <f>IFERROR(__xludf.DUMMYFUNCTION("""COMPUTED_VALUE"""),1.0)</f>
        <v>1</v>
      </c>
      <c r="F46" s="17">
        <f>IFERROR(__xludf.DUMMYFUNCTION("""COMPUTED_VALUE"""),0.001)</f>
        <v>0.001</v>
      </c>
      <c r="G46" s="15"/>
      <c r="H46" s="11"/>
      <c r="I46" s="15"/>
    </row>
    <row r="47">
      <c r="A47" s="11">
        <f>IFERROR(__xludf.DUMMYFUNCTION("""COMPUTED_VALUE"""),7048.0)</f>
        <v>7048</v>
      </c>
      <c r="B47" s="11" t="str">
        <f>IFERROR(__xludf.DUMMYFUNCTION("""COMPUTED_VALUE"""),"P")</f>
        <v>P</v>
      </c>
      <c r="C47" s="11" t="str">
        <f>IFERROR(__xludf.DUMMYFUNCTION("""COMPUTED_VALUE"""),"De Marzi")</f>
        <v>De Marzi</v>
      </c>
      <c r="D47" s="11" t="str">
        <f>IFERROR(__xludf.DUMMYFUNCTION("""COMPUTED_VALUE"""),"Roma")</f>
        <v>Roma</v>
      </c>
      <c r="E47" s="15">
        <f>IFERROR(__xludf.DUMMYFUNCTION("""COMPUTED_VALUE"""),1.0)</f>
        <v>1</v>
      </c>
      <c r="F47" s="17">
        <f>IFERROR(__xludf.DUMMYFUNCTION("""COMPUTED_VALUE"""),0.001)</f>
        <v>0.001</v>
      </c>
      <c r="G47" s="15"/>
      <c r="H47" s="11"/>
      <c r="I47" s="15"/>
    </row>
    <row r="48">
      <c r="A48" s="11">
        <f>IFERROR(__xludf.DUMMYFUNCTION("""COMPUTED_VALUE"""),610.0)</f>
        <v>610</v>
      </c>
      <c r="B48" s="11" t="str">
        <f>IFERROR(__xludf.DUMMYFUNCTION("""COMPUTED_VALUE"""),"P")</f>
        <v>P</v>
      </c>
      <c r="C48" s="11" t="str">
        <f>IFERROR(__xludf.DUMMYFUNCTION("""COMPUTED_VALUE"""),"Gollini")</f>
        <v>Gollini</v>
      </c>
      <c r="D48" s="11" t="str">
        <f>IFERROR(__xludf.DUMMYFUNCTION("""COMPUTED_VALUE"""),"Roma")</f>
        <v>Roma</v>
      </c>
      <c r="E48" s="15">
        <f>IFERROR(__xludf.DUMMYFUNCTION("""COMPUTED_VALUE"""),1.0)</f>
        <v>1</v>
      </c>
      <c r="F48" s="17">
        <f>IFERROR(__xludf.DUMMYFUNCTION("""COMPUTED_VALUE"""),0.001)</f>
        <v>0.001</v>
      </c>
      <c r="G48" s="15"/>
      <c r="H48" s="11"/>
      <c r="I48" s="15"/>
    </row>
    <row r="49">
      <c r="A49" s="11">
        <f>IFERROR(__xludf.DUMMYFUNCTION("""COMPUTED_VALUE"""),4518.0)</f>
        <v>4518</v>
      </c>
      <c r="B49" s="11" t="str">
        <f>IFERROR(__xludf.DUMMYFUNCTION("""COMPUTED_VALUE"""),"P")</f>
        <v>P</v>
      </c>
      <c r="C49" s="11" t="str">
        <f>IFERROR(__xludf.DUMMYFUNCTION("""COMPUTED_VALUE"""),"Russo A.")</f>
        <v>Russo A.</v>
      </c>
      <c r="D49" s="11" t="str">
        <f>IFERROR(__xludf.DUMMYFUNCTION("""COMPUTED_VALUE"""),"Sassuolo")</f>
        <v>Sassuolo</v>
      </c>
      <c r="E49" s="15">
        <f>IFERROR(__xludf.DUMMYFUNCTION("""COMPUTED_VALUE"""),1.0)</f>
        <v>1</v>
      </c>
      <c r="F49" s="17">
        <f>IFERROR(__xludf.DUMMYFUNCTION("""COMPUTED_VALUE"""),0.001)</f>
        <v>0.001</v>
      </c>
      <c r="G49" s="15"/>
      <c r="H49" s="11"/>
      <c r="I49" s="15"/>
    </row>
    <row r="50">
      <c r="A50" s="11">
        <f>IFERROR(__xludf.DUMMYFUNCTION("""COMPUTED_VALUE"""),4867.0)</f>
        <v>4867</v>
      </c>
      <c r="B50" s="11" t="str">
        <f>IFERROR(__xludf.DUMMYFUNCTION("""COMPUTED_VALUE"""),"P")</f>
        <v>P</v>
      </c>
      <c r="C50" s="11" t="str">
        <f>IFERROR(__xludf.DUMMYFUNCTION("""COMPUTED_VALUE"""),"Turati")</f>
        <v>Turati</v>
      </c>
      <c r="D50" s="11" t="str">
        <f>IFERROR(__xludf.DUMMYFUNCTION("""COMPUTED_VALUE"""),"Sassuolo")</f>
        <v>Sassuolo</v>
      </c>
      <c r="E50" s="15">
        <f>IFERROR(__xludf.DUMMYFUNCTION("""COMPUTED_VALUE"""),1.0)</f>
        <v>1</v>
      </c>
      <c r="F50" s="17">
        <f>IFERROR(__xludf.DUMMYFUNCTION("""COMPUTED_VALUE"""),0.001)</f>
        <v>0.001</v>
      </c>
      <c r="G50" s="15"/>
      <c r="H50" s="11"/>
      <c r="I50" s="15"/>
    </row>
    <row r="51">
      <c r="A51" s="11">
        <f>IFERROR(__xludf.DUMMYFUNCTION("""COMPUTED_VALUE"""),7363.0)</f>
        <v>7363</v>
      </c>
      <c r="B51" s="11" t="str">
        <f>IFERROR(__xludf.DUMMYFUNCTION("""COMPUTED_VALUE"""),"P")</f>
        <v>P</v>
      </c>
      <c r="C51" s="11" t="str">
        <f>IFERROR(__xludf.DUMMYFUNCTION("""COMPUTED_VALUE"""),"Siviero")</f>
        <v>Siviero</v>
      </c>
      <c r="D51" s="11" t="str">
        <f>IFERROR(__xludf.DUMMYFUNCTION("""COMPUTED_VALUE"""),"Torino")</f>
        <v>Torino</v>
      </c>
      <c r="E51" s="15">
        <f>IFERROR(__xludf.DUMMYFUNCTION("""COMPUTED_VALUE"""),1.0)</f>
        <v>1</v>
      </c>
      <c r="F51" s="17">
        <f>IFERROR(__xludf.DUMMYFUNCTION("""COMPUTED_VALUE"""),0.001)</f>
        <v>0.001</v>
      </c>
      <c r="G51" s="15"/>
      <c r="H51" s="11"/>
      <c r="I51" s="15"/>
    </row>
    <row r="52">
      <c r="A52" s="11">
        <f>IFERROR(__xludf.DUMMYFUNCTION("""COMPUTED_VALUE"""),543.0)</f>
        <v>543</v>
      </c>
      <c r="B52" s="11" t="str">
        <f>IFERROR(__xludf.DUMMYFUNCTION("""COMPUTED_VALUE"""),"P")</f>
        <v>P</v>
      </c>
      <c r="C52" s="11" t="str">
        <f>IFERROR(__xludf.DUMMYFUNCTION("""COMPUTED_VALUE"""),"Padelli")</f>
        <v>Padelli</v>
      </c>
      <c r="D52" s="11" t="str">
        <f>IFERROR(__xludf.DUMMYFUNCTION("""COMPUTED_VALUE"""),"Udinese")</f>
        <v>Udinese</v>
      </c>
      <c r="E52" s="15">
        <f>IFERROR(__xludf.DUMMYFUNCTION("""COMPUTED_VALUE"""),1.0)</f>
        <v>1</v>
      </c>
      <c r="F52" s="17">
        <f>IFERROR(__xludf.DUMMYFUNCTION("""COMPUTED_VALUE"""),0.001)</f>
        <v>0.001</v>
      </c>
      <c r="G52" s="15"/>
      <c r="H52" s="11"/>
      <c r="I52" s="15"/>
    </row>
    <row r="53">
      <c r="A53" s="11">
        <f>IFERROR(__xludf.DUMMYFUNCTION("""COMPUTED_VALUE"""),5707.0)</f>
        <v>5707</v>
      </c>
      <c r="B53" s="11" t="str">
        <f>IFERROR(__xludf.DUMMYFUNCTION("""COMPUTED_VALUE"""),"P")</f>
        <v>P</v>
      </c>
      <c r="C53" s="11" t="str">
        <f>IFERROR(__xludf.DUMMYFUNCTION("""COMPUTED_VALUE"""),"Piana")</f>
        <v>Piana</v>
      </c>
      <c r="D53" s="11" t="str">
        <f>IFERROR(__xludf.DUMMYFUNCTION("""COMPUTED_VALUE"""),"Udinese")</f>
        <v>Udinese</v>
      </c>
      <c r="E53" s="15">
        <f>IFERROR(__xludf.DUMMYFUNCTION("""COMPUTED_VALUE"""),1.0)</f>
        <v>1</v>
      </c>
      <c r="F53" s="17">
        <f>IFERROR(__xludf.DUMMYFUNCTION("""COMPUTED_VALUE"""),0.001)</f>
        <v>0.001</v>
      </c>
      <c r="G53" s="15"/>
      <c r="H53" s="11"/>
      <c r="I53" s="15"/>
    </row>
    <row r="54">
      <c r="A54" s="11">
        <f>IFERROR(__xludf.DUMMYFUNCTION("""COMPUTED_VALUE"""),6671.0)</f>
        <v>6671</v>
      </c>
      <c r="B54" s="11" t="str">
        <f>IFERROR(__xludf.DUMMYFUNCTION("""COMPUTED_VALUE"""),"P")</f>
        <v>P</v>
      </c>
      <c r="C54" s="11" t="str">
        <f>IFERROR(__xludf.DUMMYFUNCTION("""COMPUTED_VALUE"""),"Grandi")</f>
        <v>Grandi</v>
      </c>
      <c r="D54" s="11" t="str">
        <f>IFERROR(__xludf.DUMMYFUNCTION("""COMPUTED_VALUE"""),"Venezia")</f>
        <v>Venezia</v>
      </c>
      <c r="E54" s="15">
        <f>IFERROR(__xludf.DUMMYFUNCTION("""COMPUTED_VALUE"""),1.0)</f>
        <v>1</v>
      </c>
      <c r="F54" s="17">
        <f>IFERROR(__xludf.DUMMYFUNCTION("""COMPUTED_VALUE"""),0.001)</f>
        <v>0.001</v>
      </c>
      <c r="G54" s="15"/>
      <c r="H54" s="11"/>
      <c r="I54" s="15"/>
    </row>
    <row r="55">
      <c r="A55" s="11">
        <f>IFERROR(__xludf.DUMMYFUNCTION("""COMPUTED_VALUE"""),7531.0)</f>
        <v>7531</v>
      </c>
      <c r="B55" s="11" t="str">
        <f>IFERROR(__xludf.DUMMYFUNCTION("""COMPUTED_VALUE"""),"P")</f>
        <v>P</v>
      </c>
      <c r="C55" s="11" t="str">
        <f>IFERROR(__xludf.DUMMYFUNCTION("""COMPUTED_VALUE"""),"Pozzi")</f>
        <v>Pozzi</v>
      </c>
      <c r="D55" s="11" t="str">
        <f>IFERROR(__xludf.DUMMYFUNCTION("""COMPUTED_VALUE"""),"Venezia")</f>
        <v>Venezia</v>
      </c>
      <c r="E55" s="15">
        <f>IFERROR(__xludf.DUMMYFUNCTION("""COMPUTED_VALUE"""),1.0)</f>
        <v>1</v>
      </c>
      <c r="F55" s="17">
        <f>IFERROR(__xludf.DUMMYFUNCTION("""COMPUTED_VALUE"""),0.001)</f>
        <v>0.001</v>
      </c>
      <c r="G55" s="15"/>
      <c r="H55" s="11"/>
      <c r="I55" s="15"/>
    </row>
    <row r="56">
      <c r="A56" s="11">
        <f>IFERROR(__xludf.DUMMYFUNCTION("""COMPUTED_VALUE"""),2127.0)</f>
        <v>2127</v>
      </c>
      <c r="B56" s="11" t="str">
        <f>IFERROR(__xludf.DUMMYFUNCTION("""COMPUTED_VALUE"""),"P")</f>
        <v>P</v>
      </c>
      <c r="C56" s="11" t="str">
        <f>IFERROR(__xludf.DUMMYFUNCTION("""COMPUTED_VALUE"""),"Satalino")</f>
        <v>Satalino</v>
      </c>
      <c r="D56" s="11" t="str">
        <f>IFERROR(__xludf.DUMMYFUNCTION("""COMPUTED_VALUE"""),"Sassuolo")</f>
        <v>Sassuolo</v>
      </c>
      <c r="E56" s="15">
        <f>IFERROR(__xludf.DUMMYFUNCTION("""COMPUTED_VALUE"""),1.0)</f>
        <v>1</v>
      </c>
      <c r="F56" s="17">
        <f>IFERROR(__xludf.DUMMYFUNCTION("""COMPUTED_VALUE"""),0.001)</f>
        <v>0.001</v>
      </c>
      <c r="G56" s="15"/>
      <c r="H56" s="11"/>
      <c r="I56" s="15"/>
    </row>
    <row r="57">
      <c r="A57" s="11">
        <f>IFERROR(__xludf.DUMMYFUNCTION("""COMPUTED_VALUE"""),7557.0)</f>
        <v>7557</v>
      </c>
      <c r="B57" s="11" t="str">
        <f>IFERROR(__xludf.DUMMYFUNCTION("""COMPUTED_VALUE"""),"P")</f>
        <v>P</v>
      </c>
      <c r="C57" s="11" t="str">
        <f>IFERROR(__xludf.DUMMYFUNCTION("""COMPUTED_VALUE"""),"Penev")</f>
        <v>Penev</v>
      </c>
      <c r="D57" s="11" t="str">
        <f>IFERROR(__xludf.DUMMYFUNCTION("""COMPUTED_VALUE"""),"Lecce")</f>
        <v>Lecce</v>
      </c>
      <c r="E57" s="15">
        <f>IFERROR(__xludf.DUMMYFUNCTION("""COMPUTED_VALUE"""),1.0)</f>
        <v>1</v>
      </c>
      <c r="F57" s="17">
        <f>IFERROR(__xludf.DUMMYFUNCTION("""COMPUTED_VALUE"""),0.001)</f>
        <v>0.001</v>
      </c>
      <c r="G57" s="15"/>
      <c r="H57" s="11"/>
      <c r="I57" s="15"/>
    </row>
    <row r="58">
      <c r="A58" s="11">
        <f>IFERROR(__xludf.DUMMYFUNCTION("""COMPUTED_VALUE"""),7560.0)</f>
        <v>7560</v>
      </c>
      <c r="B58" s="11" t="str">
        <f>IFERROR(__xludf.DUMMYFUNCTION("""COMPUTED_VALUE"""),"P")</f>
        <v>P</v>
      </c>
      <c r="C58" s="11" t="str">
        <f>IFERROR(__xludf.DUMMYFUNCTION("""COMPUTED_VALUE"""),"Pisseri")</f>
        <v>Pisseri</v>
      </c>
      <c r="D58" s="11" t="str">
        <f>IFERROR(__xludf.DUMMYFUNCTION("""COMPUTED_VALUE"""),"Frosinone")</f>
        <v>Frosinone</v>
      </c>
      <c r="E58" s="15">
        <f>IFERROR(__xludf.DUMMYFUNCTION("""COMPUTED_VALUE"""),1.0)</f>
        <v>1</v>
      </c>
      <c r="F58" s="17">
        <f>IFERROR(__xludf.DUMMYFUNCTION("""COMPUTED_VALUE"""),0.001)</f>
        <v>0.001</v>
      </c>
      <c r="G58" s="15"/>
      <c r="H58" s="11"/>
      <c r="I58" s="15"/>
    </row>
    <row r="59">
      <c r="A59" s="11">
        <f>IFERROR(__xludf.DUMMYFUNCTION("""COMPUTED_VALUE"""),3.0)</f>
        <v>3</v>
      </c>
      <c r="B59" s="11" t="str">
        <f>IFERROR(__xludf.DUMMYFUNCTION("""COMPUTED_VALUE"""),"P")</f>
        <v>P</v>
      </c>
      <c r="C59" s="11" t="str">
        <f>IFERROR(__xludf.DUMMYFUNCTION("""COMPUTED_VALUE"""),"Radunovic")</f>
        <v>Radunovic</v>
      </c>
      <c r="D59" s="11" t="str">
        <f>IFERROR(__xludf.DUMMYFUNCTION("""COMPUTED_VALUE"""),"Cagliari")</f>
        <v>Cagliari</v>
      </c>
      <c r="E59" s="15">
        <f>IFERROR(__xludf.DUMMYFUNCTION("""COMPUTED_VALUE"""),1.0)</f>
        <v>1</v>
      </c>
      <c r="F59" s="17">
        <f>IFERROR(__xludf.DUMMYFUNCTION("""COMPUTED_VALUE"""),0.001)</f>
        <v>0.001</v>
      </c>
      <c r="G59" s="15"/>
      <c r="H59" s="11"/>
      <c r="I59" s="15"/>
    </row>
    <row r="60">
      <c r="A60" s="11">
        <f>IFERROR(__xludf.DUMMYFUNCTION("""COMPUTED_VALUE"""),4957.0)</f>
        <v>4957</v>
      </c>
      <c r="B60" s="11" t="str">
        <f>IFERROR(__xludf.DUMMYFUNCTION("""COMPUTED_VALUE"""),"P")</f>
        <v>P</v>
      </c>
      <c r="C60" s="11" t="str">
        <f>IFERROR(__xludf.DUMMYFUNCTION("""COMPUTED_VALUE"""),"Montipò")</f>
        <v>Montipò</v>
      </c>
      <c r="D60" s="11" t="str">
        <f>IFERROR(__xludf.DUMMYFUNCTION("""COMPUTED_VALUE"""),"Venezia")</f>
        <v>Venezia</v>
      </c>
      <c r="E60" s="15">
        <f>IFERROR(__xludf.DUMMYFUNCTION("""COMPUTED_VALUE"""),1.0)</f>
        <v>1</v>
      </c>
      <c r="F60" s="17">
        <f>IFERROR(__xludf.DUMMYFUNCTION("""COMPUTED_VALUE"""),0.001)</f>
        <v>0.001</v>
      </c>
      <c r="G60" s="15"/>
      <c r="H60" s="11"/>
      <c r="I60" s="15"/>
    </row>
    <row r="61">
      <c r="A61" s="11">
        <f>IFERROR(__xludf.DUMMYFUNCTION("""COMPUTED_VALUE"""),4468.0)</f>
        <v>4468</v>
      </c>
      <c r="B61" s="11" t="str">
        <f>IFERROR(__xludf.DUMMYFUNCTION("""COMPUTED_VALUE"""),"P")</f>
        <v>P</v>
      </c>
      <c r="C61" s="11" t="str">
        <f>IFERROR(__xludf.DUMMYFUNCTION("""COMPUTED_VALUE"""),"Bleve")</f>
        <v>Bleve</v>
      </c>
      <c r="D61" s="11" t="str">
        <f>IFERROR(__xludf.DUMMYFUNCTION("""COMPUTED_VALUE"""),"Lecce")</f>
        <v>Lecce</v>
      </c>
      <c r="E61" s="15">
        <f>IFERROR(__xludf.DUMMYFUNCTION("""COMPUTED_VALUE"""),1.0)</f>
        <v>1</v>
      </c>
      <c r="F61" s="17">
        <f>IFERROR(__xludf.DUMMYFUNCTION("""COMPUTED_VALUE"""),0.001)</f>
        <v>0.001</v>
      </c>
      <c r="G61" s="15"/>
      <c r="H61" s="11"/>
      <c r="I61" s="15"/>
    </row>
    <row r="62">
      <c r="A62" s="11">
        <f>IFERROR(__xludf.DUMMYFUNCTION("""COMPUTED_VALUE"""),7603.0)</f>
        <v>7603</v>
      </c>
      <c r="B62" s="11" t="str">
        <f>IFERROR(__xludf.DUMMYFUNCTION("""COMPUTED_VALUE"""),"P")</f>
        <v>P</v>
      </c>
      <c r="C62" s="11" t="str">
        <f>IFERROR(__xludf.DUMMYFUNCTION("""COMPUTED_VALUE"""),"Grabara")</f>
        <v>Grabara</v>
      </c>
      <c r="D62" s="11" t="str">
        <f>IFERROR(__xludf.DUMMYFUNCTION("""COMPUTED_VALUE"""),"Juventus")</f>
        <v>Juventus</v>
      </c>
      <c r="E62" s="15">
        <f>IFERROR(__xludf.DUMMYFUNCTION("""COMPUTED_VALUE"""),1.0)</f>
        <v>1</v>
      </c>
      <c r="F62" s="17">
        <f>IFERROR(__xludf.DUMMYFUNCTION("""COMPUTED_VALUE"""),0.001)</f>
        <v>0.001</v>
      </c>
      <c r="G62" s="15"/>
      <c r="H62" s="11"/>
      <c r="I62" s="15"/>
    </row>
    <row r="63">
      <c r="A63" s="11">
        <f>IFERROR(__xludf.DUMMYFUNCTION("""COMPUTED_VALUE"""),7611.0)</f>
        <v>7611</v>
      </c>
      <c r="B63" s="11" t="str">
        <f>IFERROR(__xludf.DUMMYFUNCTION("""COMPUTED_VALUE"""),"P")</f>
        <v>P</v>
      </c>
      <c r="C63" s="11" t="str">
        <f>IFERROR(__xludf.DUMMYFUNCTION("""COMPUTED_VALUE"""),"Mrozek")</f>
        <v>Mrozek</v>
      </c>
      <c r="D63" s="11" t="str">
        <f>IFERROR(__xludf.DUMMYFUNCTION("""COMPUTED_VALUE"""),"Udinese")</f>
        <v>Udinese</v>
      </c>
      <c r="E63" s="15">
        <f>IFERROR(__xludf.DUMMYFUNCTION("""COMPUTED_VALUE"""),1.0)</f>
        <v>1</v>
      </c>
      <c r="F63" s="17">
        <f>IFERROR(__xludf.DUMMYFUNCTION("""COMPUTED_VALUE"""),0.001)</f>
        <v>0.001</v>
      </c>
      <c r="G63" s="15"/>
      <c r="H63" s="11"/>
      <c r="I63" s="15"/>
    </row>
    <row r="64">
      <c r="A64" s="11">
        <f>IFERROR(__xludf.DUMMYFUNCTION("""COMPUTED_VALUE"""),2874.0)</f>
        <v>2874</v>
      </c>
      <c r="B64" s="11" t="str">
        <f>IFERROR(__xludf.DUMMYFUNCTION("""COMPUTED_VALUE"""),"P")</f>
        <v>P</v>
      </c>
      <c r="C64" s="11" t="str">
        <f>IFERROR(__xludf.DUMMYFUNCTION("""COMPUTED_VALUE"""),"Ghidotti")</f>
        <v>Ghidotti</v>
      </c>
      <c r="D64" s="11" t="str">
        <f>IFERROR(__xludf.DUMMYFUNCTION("""COMPUTED_VALUE"""),"Parma")</f>
        <v>Parma</v>
      </c>
      <c r="E64" s="15">
        <f>IFERROR(__xludf.DUMMYFUNCTION("""COMPUTED_VALUE"""),1.0)</f>
        <v>1</v>
      </c>
      <c r="F64" s="17">
        <f>IFERROR(__xludf.DUMMYFUNCTION("""COMPUTED_VALUE"""),0.001)</f>
        <v>0.001</v>
      </c>
      <c r="G64" s="15"/>
      <c r="H64" s="11"/>
      <c r="I64" s="15"/>
    </row>
    <row r="65">
      <c r="A65" s="11">
        <f>IFERROR(__xludf.DUMMYFUNCTION("""COMPUTED_VALUE"""),7626.0)</f>
        <v>7626</v>
      </c>
      <c r="B65" s="11" t="str">
        <f>IFERROR(__xludf.DUMMYFUNCTION("""COMPUTED_VALUE"""),"P")</f>
        <v>P</v>
      </c>
      <c r="C65" s="11" t="str">
        <f>IFERROR(__xludf.DUMMYFUNCTION("""COMPUTED_VALUE"""),"Pompei")</f>
        <v>Pompei</v>
      </c>
      <c r="D65" s="11" t="str">
        <f>IFERROR(__xludf.DUMMYFUNCTION("""COMPUTED_VALUE"""),"Atalanta")</f>
        <v>Atalanta</v>
      </c>
      <c r="E65" s="15">
        <f>IFERROR(__xludf.DUMMYFUNCTION("""COMPUTED_VALUE"""),1.0)</f>
        <v>1</v>
      </c>
      <c r="F65" s="17">
        <f>IFERROR(__xludf.DUMMYFUNCTION("""COMPUTED_VALUE"""),0.001)</f>
        <v>0.001</v>
      </c>
      <c r="G65" s="15"/>
      <c r="H65" s="11"/>
      <c r="I65" s="15"/>
    </row>
    <row r="66">
      <c r="E66" s="15"/>
      <c r="F66" s="17"/>
      <c r="G66" s="15"/>
      <c r="I66" s="15"/>
    </row>
    <row r="67">
      <c r="E67" s="15"/>
      <c r="F67" s="17"/>
      <c r="G67" s="15"/>
      <c r="I67" s="15"/>
    </row>
    <row r="68">
      <c r="E68" s="15"/>
      <c r="F68" s="17"/>
      <c r="G68" s="15"/>
      <c r="I68" s="15"/>
    </row>
    <row r="69">
      <c r="E69" s="15"/>
      <c r="F69" s="17"/>
      <c r="G69" s="15"/>
      <c r="I69" s="15"/>
    </row>
    <row r="70">
      <c r="E70" s="15"/>
      <c r="F70" s="17"/>
      <c r="G70" s="15"/>
      <c r="I70" s="15"/>
    </row>
    <row r="71">
      <c r="E71" s="15"/>
      <c r="F71" s="17"/>
      <c r="G71" s="15"/>
      <c r="I71" s="15"/>
    </row>
    <row r="72">
      <c r="E72" s="15"/>
      <c r="F72" s="17"/>
      <c r="G72" s="15"/>
      <c r="I72" s="15"/>
    </row>
    <row r="73">
      <c r="E73" s="15"/>
      <c r="F73" s="17"/>
      <c r="G73" s="15"/>
      <c r="I73" s="15"/>
    </row>
    <row r="74">
      <c r="E74" s="15"/>
      <c r="F74" s="17"/>
      <c r="G74" s="15"/>
      <c r="I74" s="15"/>
    </row>
    <row r="75">
      <c r="E75" s="15"/>
      <c r="F75" s="17"/>
      <c r="G75" s="15"/>
      <c r="I75" s="15"/>
    </row>
    <row r="76">
      <c r="E76" s="15"/>
      <c r="F76" s="17"/>
      <c r="G76" s="15"/>
      <c r="I76" s="15"/>
    </row>
    <row r="77">
      <c r="E77" s="15"/>
      <c r="F77" s="17"/>
      <c r="G77" s="15"/>
      <c r="I77" s="15"/>
    </row>
    <row r="78">
      <c r="E78" s="15"/>
      <c r="F78" s="17"/>
      <c r="G78" s="15"/>
      <c r="I78" s="15"/>
    </row>
    <row r="79">
      <c r="E79" s="15"/>
      <c r="F79" s="17"/>
      <c r="G79" s="15"/>
      <c r="I79" s="15"/>
    </row>
    <row r="80">
      <c r="E80" s="15"/>
      <c r="F80" s="17"/>
      <c r="G80" s="15"/>
      <c r="I80" s="15"/>
    </row>
    <row r="81">
      <c r="E81" s="15"/>
      <c r="F81" s="17"/>
      <c r="G81" s="15"/>
      <c r="I81" s="15"/>
    </row>
    <row r="82">
      <c r="E82" s="15"/>
      <c r="F82" s="17"/>
      <c r="G82" s="15"/>
      <c r="I82" s="15"/>
    </row>
    <row r="83">
      <c r="E83" s="15"/>
      <c r="F83" s="17"/>
      <c r="G83" s="15"/>
      <c r="I83" s="15"/>
    </row>
    <row r="84">
      <c r="E84" s="15"/>
      <c r="F84" s="17"/>
      <c r="G84" s="15"/>
      <c r="I84" s="15"/>
    </row>
    <row r="85">
      <c r="E85" s="15"/>
      <c r="F85" s="17"/>
      <c r="G85" s="15"/>
      <c r="I85" s="15"/>
    </row>
    <row r="86">
      <c r="E86" s="15"/>
      <c r="F86" s="17"/>
      <c r="G86" s="15"/>
      <c r="I86" s="15"/>
    </row>
    <row r="87">
      <c r="E87" s="15"/>
      <c r="F87" s="17"/>
      <c r="G87" s="15"/>
      <c r="I87" s="15"/>
    </row>
    <row r="88">
      <c r="E88" s="15"/>
      <c r="F88" s="17"/>
      <c r="G88" s="15"/>
      <c r="I88" s="15"/>
    </row>
    <row r="89">
      <c r="E89" s="15"/>
      <c r="F89" s="17"/>
      <c r="G89" s="15"/>
      <c r="I89" s="15"/>
    </row>
    <row r="90">
      <c r="E90" s="15"/>
      <c r="F90" s="17"/>
      <c r="G90" s="15"/>
      <c r="I90" s="15"/>
    </row>
    <row r="91">
      <c r="E91" s="15"/>
      <c r="F91" s="17"/>
      <c r="G91" s="15"/>
      <c r="I91" s="15"/>
    </row>
    <row r="92">
      <c r="E92" s="15"/>
      <c r="F92" s="17"/>
      <c r="G92" s="15"/>
      <c r="I92" s="15"/>
    </row>
    <row r="93">
      <c r="E93" s="15"/>
      <c r="F93" s="17"/>
      <c r="G93" s="15"/>
      <c r="I93" s="15"/>
    </row>
    <row r="94">
      <c r="E94" s="15"/>
      <c r="F94" s="17"/>
      <c r="G94" s="15"/>
      <c r="I94" s="15"/>
    </row>
    <row r="95">
      <c r="E95" s="15"/>
      <c r="F95" s="17"/>
      <c r="G95" s="15"/>
      <c r="I95" s="15"/>
    </row>
    <row r="96">
      <c r="E96" s="15"/>
      <c r="F96" s="17"/>
      <c r="G96" s="15"/>
      <c r="I96" s="15"/>
    </row>
    <row r="97">
      <c r="E97" s="15"/>
      <c r="F97" s="17"/>
      <c r="G97" s="15"/>
      <c r="I97" s="15"/>
    </row>
    <row r="98">
      <c r="E98" s="15"/>
      <c r="F98" s="17"/>
      <c r="G98" s="15"/>
      <c r="I98" s="15"/>
    </row>
    <row r="99">
      <c r="E99" s="15"/>
      <c r="F99" s="17"/>
      <c r="G99" s="15"/>
      <c r="I99" s="15"/>
    </row>
    <row r="100">
      <c r="E100" s="15"/>
      <c r="F100" s="17"/>
      <c r="G100" s="15"/>
      <c r="I100" s="15"/>
    </row>
    <row r="101">
      <c r="E101" s="15"/>
      <c r="F101" s="17"/>
      <c r="G101" s="15"/>
      <c r="I101" s="15"/>
    </row>
    <row r="102">
      <c r="E102" s="15"/>
      <c r="F102" s="17"/>
      <c r="G102" s="15"/>
      <c r="I102" s="15"/>
    </row>
    <row r="103">
      <c r="E103" s="15"/>
      <c r="F103" s="17"/>
      <c r="G103" s="15"/>
      <c r="I103" s="15"/>
    </row>
    <row r="104">
      <c r="E104" s="15"/>
      <c r="F104" s="17"/>
      <c r="G104" s="15"/>
      <c r="I104" s="15"/>
    </row>
    <row r="105">
      <c r="E105" s="15"/>
      <c r="F105" s="17"/>
      <c r="G105" s="15"/>
      <c r="I105" s="15"/>
    </row>
    <row r="106">
      <c r="E106" s="15"/>
      <c r="F106" s="17"/>
      <c r="G106" s="15"/>
      <c r="I106" s="15"/>
    </row>
    <row r="107">
      <c r="E107" s="15"/>
      <c r="F107" s="17"/>
      <c r="G107" s="15"/>
      <c r="I107" s="15"/>
    </row>
    <row r="108">
      <c r="E108" s="15"/>
      <c r="F108" s="17"/>
      <c r="G108" s="15"/>
      <c r="I108" s="15"/>
    </row>
    <row r="109">
      <c r="E109" s="15"/>
      <c r="F109" s="17"/>
      <c r="G109" s="15"/>
      <c r="I109" s="15"/>
    </row>
    <row r="110">
      <c r="E110" s="15"/>
      <c r="F110" s="17"/>
      <c r="G110" s="15"/>
      <c r="I110" s="15"/>
    </row>
    <row r="111">
      <c r="E111" s="15"/>
      <c r="F111" s="17"/>
      <c r="G111" s="15"/>
      <c r="I111" s="15"/>
    </row>
    <row r="112">
      <c r="E112" s="15"/>
      <c r="F112" s="17"/>
      <c r="G112" s="15"/>
      <c r="I112" s="15"/>
    </row>
    <row r="113">
      <c r="E113" s="15"/>
      <c r="F113" s="17"/>
      <c r="G113" s="15"/>
      <c r="I113" s="15"/>
    </row>
    <row r="114">
      <c r="E114" s="15"/>
      <c r="F114" s="17"/>
      <c r="G114" s="15"/>
      <c r="I114" s="15"/>
    </row>
    <row r="115">
      <c r="E115" s="15"/>
      <c r="F115" s="17"/>
      <c r="G115" s="15"/>
      <c r="I115" s="15"/>
    </row>
    <row r="116">
      <c r="E116" s="15"/>
      <c r="F116" s="17"/>
      <c r="G116" s="15"/>
      <c r="I116" s="15"/>
    </row>
    <row r="117">
      <c r="E117" s="15"/>
      <c r="F117" s="17"/>
      <c r="G117" s="15"/>
      <c r="I117" s="15"/>
    </row>
    <row r="118">
      <c r="E118" s="15"/>
      <c r="F118" s="17"/>
      <c r="G118" s="15"/>
      <c r="I118" s="15"/>
    </row>
    <row r="119">
      <c r="E119" s="15"/>
      <c r="F119" s="17"/>
      <c r="G119" s="15"/>
      <c r="I119" s="15"/>
    </row>
    <row r="120">
      <c r="E120" s="15"/>
      <c r="F120" s="17"/>
      <c r="G120" s="15"/>
      <c r="I120" s="15"/>
    </row>
    <row r="121">
      <c r="E121" s="15"/>
      <c r="F121" s="17"/>
      <c r="G121" s="15"/>
      <c r="I121" s="15"/>
    </row>
    <row r="122">
      <c r="E122" s="15"/>
      <c r="F122" s="17"/>
      <c r="G122" s="15"/>
      <c r="I122" s="15"/>
    </row>
    <row r="123">
      <c r="E123" s="15"/>
      <c r="F123" s="17"/>
      <c r="G123" s="15"/>
      <c r="I123" s="15"/>
    </row>
    <row r="124">
      <c r="E124" s="15"/>
      <c r="F124" s="17"/>
      <c r="G124" s="15"/>
      <c r="I124" s="15"/>
    </row>
    <row r="125">
      <c r="E125" s="15"/>
      <c r="F125" s="17"/>
      <c r="G125" s="15"/>
      <c r="I125" s="15"/>
    </row>
    <row r="126">
      <c r="E126" s="15"/>
      <c r="F126" s="17"/>
      <c r="G126" s="15"/>
      <c r="I126" s="15"/>
    </row>
    <row r="127">
      <c r="E127" s="15"/>
      <c r="F127" s="17"/>
      <c r="G127" s="15"/>
      <c r="I127" s="15"/>
    </row>
    <row r="128">
      <c r="E128" s="15"/>
      <c r="F128" s="17"/>
      <c r="G128" s="15"/>
      <c r="I128" s="15"/>
    </row>
    <row r="129">
      <c r="E129" s="15"/>
      <c r="F129" s="17"/>
      <c r="G129" s="15"/>
      <c r="I129" s="15"/>
    </row>
    <row r="130">
      <c r="E130" s="15"/>
      <c r="F130" s="17"/>
      <c r="G130" s="15"/>
      <c r="I130" s="15"/>
    </row>
    <row r="131">
      <c r="E131" s="15"/>
      <c r="F131" s="17"/>
      <c r="G131" s="15"/>
      <c r="I131" s="15"/>
    </row>
    <row r="132">
      <c r="E132" s="15"/>
      <c r="F132" s="17"/>
      <c r="G132" s="15"/>
      <c r="I132" s="15"/>
    </row>
    <row r="133">
      <c r="E133" s="15"/>
      <c r="F133" s="17"/>
      <c r="G133" s="15"/>
      <c r="I133" s="15"/>
    </row>
    <row r="134">
      <c r="E134" s="15"/>
      <c r="F134" s="17"/>
      <c r="G134" s="15"/>
      <c r="I134" s="15"/>
    </row>
    <row r="135">
      <c r="E135" s="15"/>
      <c r="F135" s="17"/>
      <c r="G135" s="15"/>
      <c r="I135" s="15"/>
    </row>
    <row r="136">
      <c r="E136" s="15"/>
      <c r="F136" s="17"/>
      <c r="G136" s="15"/>
      <c r="I136" s="15"/>
    </row>
    <row r="137">
      <c r="E137" s="15"/>
      <c r="F137" s="17"/>
      <c r="G137" s="15"/>
      <c r="I137" s="15"/>
    </row>
    <row r="138">
      <c r="E138" s="15"/>
      <c r="F138" s="17"/>
      <c r="G138" s="15"/>
      <c r="I138" s="15"/>
    </row>
    <row r="139">
      <c r="E139" s="15"/>
      <c r="F139" s="17"/>
      <c r="G139" s="15"/>
      <c r="I139" s="15"/>
    </row>
    <row r="140">
      <c r="E140" s="15"/>
      <c r="F140" s="17"/>
      <c r="G140" s="15"/>
      <c r="I140" s="15"/>
    </row>
    <row r="141">
      <c r="E141" s="15"/>
      <c r="F141" s="17"/>
      <c r="G141" s="15"/>
      <c r="I141" s="15"/>
    </row>
    <row r="142">
      <c r="E142" s="15"/>
      <c r="F142" s="17"/>
      <c r="G142" s="15"/>
      <c r="I142" s="15"/>
    </row>
    <row r="143">
      <c r="E143" s="15"/>
      <c r="F143" s="17"/>
      <c r="G143" s="15"/>
      <c r="I143" s="15"/>
    </row>
    <row r="144">
      <c r="E144" s="15"/>
      <c r="F144" s="17"/>
      <c r="G144" s="15"/>
      <c r="I144" s="15"/>
    </row>
    <row r="145">
      <c r="E145" s="15"/>
      <c r="F145" s="17"/>
      <c r="G145" s="15"/>
      <c r="I145" s="15"/>
    </row>
    <row r="146">
      <c r="E146" s="15"/>
      <c r="F146" s="17"/>
      <c r="G146" s="15"/>
      <c r="I146" s="15"/>
    </row>
    <row r="147">
      <c r="E147" s="15"/>
      <c r="F147" s="17"/>
      <c r="G147" s="15"/>
      <c r="I147" s="15"/>
    </row>
    <row r="148">
      <c r="E148" s="15"/>
      <c r="F148" s="17"/>
      <c r="G148" s="15"/>
      <c r="I148" s="15"/>
    </row>
    <row r="149">
      <c r="E149" s="15"/>
      <c r="F149" s="17"/>
      <c r="G149" s="15"/>
      <c r="I149" s="15"/>
    </row>
    <row r="150">
      <c r="E150" s="15"/>
      <c r="F150" s="17"/>
      <c r="G150" s="15"/>
      <c r="I150" s="15"/>
    </row>
    <row r="151">
      <c r="E151" s="15"/>
      <c r="F151" s="17"/>
      <c r="G151" s="15"/>
      <c r="I151" s="15"/>
    </row>
    <row r="152">
      <c r="E152" s="15"/>
      <c r="F152" s="17"/>
      <c r="G152" s="15"/>
      <c r="I152" s="15"/>
    </row>
    <row r="153">
      <c r="E153" s="15"/>
      <c r="F153" s="17"/>
      <c r="G153" s="15"/>
      <c r="I153" s="15"/>
    </row>
    <row r="154">
      <c r="E154" s="15"/>
      <c r="F154" s="17"/>
      <c r="G154" s="15"/>
      <c r="I154" s="15"/>
    </row>
    <row r="155">
      <c r="E155" s="15"/>
      <c r="F155" s="17"/>
      <c r="G155" s="15"/>
      <c r="I155" s="15"/>
    </row>
    <row r="156">
      <c r="E156" s="15"/>
      <c r="F156" s="17"/>
      <c r="G156" s="15"/>
      <c r="I156" s="15"/>
    </row>
    <row r="157">
      <c r="E157" s="15"/>
      <c r="F157" s="17"/>
      <c r="G157" s="15"/>
      <c r="I157" s="15"/>
    </row>
    <row r="158">
      <c r="E158" s="15"/>
      <c r="F158" s="17"/>
      <c r="G158" s="15"/>
      <c r="I158" s="15"/>
    </row>
    <row r="159">
      <c r="E159" s="15"/>
      <c r="F159" s="17"/>
      <c r="G159" s="15"/>
      <c r="I159" s="15"/>
    </row>
    <row r="160">
      <c r="E160" s="15"/>
      <c r="F160" s="17"/>
      <c r="G160" s="15"/>
      <c r="I160" s="15"/>
    </row>
    <row r="161">
      <c r="E161" s="15"/>
      <c r="F161" s="17"/>
      <c r="G161" s="15"/>
      <c r="I161" s="15"/>
    </row>
    <row r="162">
      <c r="E162" s="15"/>
      <c r="F162" s="17"/>
      <c r="G162" s="15"/>
      <c r="I162" s="15"/>
    </row>
    <row r="163">
      <c r="E163" s="15"/>
      <c r="F163" s="17"/>
      <c r="G163" s="15"/>
      <c r="I163" s="15"/>
    </row>
    <row r="164">
      <c r="E164" s="15"/>
      <c r="F164" s="17"/>
      <c r="G164" s="15"/>
      <c r="I164" s="15"/>
    </row>
    <row r="165">
      <c r="E165" s="15"/>
      <c r="F165" s="17"/>
      <c r="G165" s="15"/>
      <c r="I165" s="15"/>
    </row>
    <row r="166">
      <c r="E166" s="15"/>
      <c r="F166" s="17"/>
      <c r="G166" s="15"/>
      <c r="I166" s="15"/>
    </row>
    <row r="167">
      <c r="E167" s="15"/>
      <c r="F167" s="17"/>
      <c r="G167" s="15"/>
      <c r="I167" s="15"/>
    </row>
    <row r="168">
      <c r="E168" s="15"/>
      <c r="F168" s="17"/>
      <c r="G168" s="15"/>
      <c r="I168" s="15"/>
    </row>
    <row r="169">
      <c r="E169" s="15"/>
      <c r="F169" s="17"/>
      <c r="G169" s="15"/>
      <c r="I169" s="15"/>
    </row>
    <row r="170">
      <c r="E170" s="15"/>
      <c r="F170" s="17"/>
      <c r="G170" s="15"/>
      <c r="I170" s="15"/>
    </row>
    <row r="171">
      <c r="E171" s="15"/>
      <c r="F171" s="17"/>
      <c r="G171" s="15"/>
      <c r="I171" s="15"/>
    </row>
    <row r="172">
      <c r="E172" s="15"/>
      <c r="F172" s="17"/>
      <c r="G172" s="15"/>
      <c r="I172" s="15"/>
    </row>
    <row r="173">
      <c r="E173" s="15"/>
      <c r="F173" s="17"/>
      <c r="G173" s="15"/>
      <c r="I173" s="15"/>
    </row>
    <row r="174">
      <c r="E174" s="15"/>
      <c r="F174" s="17"/>
      <c r="G174" s="15"/>
      <c r="I174" s="15"/>
    </row>
    <row r="175">
      <c r="E175" s="15"/>
      <c r="F175" s="17"/>
      <c r="G175" s="15"/>
      <c r="I175" s="15"/>
    </row>
    <row r="176">
      <c r="E176" s="15"/>
      <c r="F176" s="17"/>
      <c r="G176" s="15"/>
      <c r="I176" s="15"/>
    </row>
    <row r="177">
      <c r="E177" s="15"/>
      <c r="F177" s="17"/>
      <c r="G177" s="15"/>
      <c r="I177" s="15"/>
    </row>
    <row r="178">
      <c r="E178" s="15"/>
      <c r="F178" s="17"/>
      <c r="G178" s="15"/>
      <c r="I178" s="15"/>
    </row>
    <row r="179">
      <c r="E179" s="15"/>
      <c r="F179" s="17"/>
      <c r="G179" s="15"/>
      <c r="I179" s="15"/>
    </row>
    <row r="180">
      <c r="E180" s="15"/>
      <c r="F180" s="17"/>
      <c r="G180" s="15"/>
      <c r="I180" s="15"/>
    </row>
    <row r="181">
      <c r="E181" s="15"/>
      <c r="F181" s="17"/>
      <c r="G181" s="15"/>
      <c r="I181" s="15"/>
    </row>
    <row r="182">
      <c r="E182" s="15"/>
      <c r="F182" s="17"/>
      <c r="G182" s="15"/>
      <c r="I182" s="15"/>
    </row>
    <row r="183">
      <c r="E183" s="15"/>
      <c r="F183" s="17"/>
      <c r="G183" s="15"/>
      <c r="I183" s="15"/>
    </row>
    <row r="184">
      <c r="E184" s="15"/>
      <c r="F184" s="17"/>
      <c r="G184" s="15"/>
      <c r="I184" s="15"/>
    </row>
    <row r="185">
      <c r="E185" s="15"/>
      <c r="F185" s="17"/>
      <c r="G185" s="15"/>
      <c r="I185" s="15"/>
    </row>
    <row r="186">
      <c r="E186" s="15"/>
      <c r="F186" s="17"/>
      <c r="G186" s="15"/>
      <c r="I186" s="15"/>
    </row>
    <row r="187">
      <c r="E187" s="15"/>
      <c r="F187" s="17"/>
      <c r="G187" s="15"/>
      <c r="I187" s="15"/>
    </row>
    <row r="188">
      <c r="E188" s="15"/>
      <c r="F188" s="17"/>
      <c r="G188" s="15"/>
      <c r="I188" s="15"/>
    </row>
    <row r="189">
      <c r="E189" s="15"/>
      <c r="F189" s="17"/>
      <c r="G189" s="15"/>
      <c r="I189" s="15"/>
    </row>
    <row r="190">
      <c r="E190" s="15"/>
      <c r="F190" s="17"/>
      <c r="G190" s="15"/>
      <c r="I190" s="15"/>
    </row>
    <row r="191">
      <c r="E191" s="15"/>
      <c r="F191" s="17"/>
      <c r="G191" s="15"/>
      <c r="I191" s="15"/>
    </row>
    <row r="192">
      <c r="E192" s="15"/>
      <c r="F192" s="17"/>
      <c r="G192" s="15"/>
      <c r="I192" s="15"/>
    </row>
    <row r="193">
      <c r="E193" s="15"/>
      <c r="F193" s="17"/>
      <c r="G193" s="15"/>
      <c r="I193" s="15"/>
    </row>
    <row r="194">
      <c r="E194" s="15"/>
      <c r="F194" s="17"/>
      <c r="G194" s="15"/>
      <c r="I194" s="15"/>
    </row>
    <row r="195">
      <c r="E195" s="15"/>
      <c r="F195" s="17"/>
      <c r="G195" s="15"/>
      <c r="I195" s="15"/>
    </row>
    <row r="196">
      <c r="E196" s="15"/>
      <c r="F196" s="17"/>
      <c r="G196" s="15"/>
      <c r="I196" s="15"/>
    </row>
    <row r="197">
      <c r="E197" s="15"/>
      <c r="F197" s="17"/>
      <c r="G197" s="15"/>
      <c r="I197" s="15"/>
    </row>
    <row r="198">
      <c r="E198" s="15"/>
      <c r="F198" s="17"/>
      <c r="G198" s="15"/>
      <c r="I198" s="15"/>
    </row>
    <row r="199">
      <c r="E199" s="15"/>
      <c r="F199" s="17"/>
      <c r="G199" s="15"/>
      <c r="I199" s="15"/>
    </row>
    <row r="200">
      <c r="E200" s="15"/>
      <c r="F200" s="17"/>
      <c r="G200" s="15"/>
      <c r="I200" s="15"/>
    </row>
    <row r="201">
      <c r="E201" s="15"/>
      <c r="F201" s="17"/>
      <c r="G201" s="15"/>
      <c r="I201" s="15"/>
    </row>
    <row r="202">
      <c r="E202" s="15"/>
      <c r="F202" s="17"/>
      <c r="G202" s="15"/>
      <c r="I202" s="15"/>
    </row>
    <row r="203">
      <c r="E203" s="15"/>
      <c r="F203" s="17"/>
      <c r="G203" s="15"/>
      <c r="I203" s="15"/>
    </row>
    <row r="204">
      <c r="E204" s="15"/>
      <c r="F204" s="17"/>
      <c r="G204" s="15"/>
      <c r="I204" s="15"/>
    </row>
    <row r="205">
      <c r="E205" s="15"/>
      <c r="F205" s="17"/>
      <c r="G205" s="15"/>
      <c r="I205" s="15"/>
    </row>
    <row r="206">
      <c r="E206" s="15"/>
      <c r="F206" s="17"/>
      <c r="G206" s="15"/>
      <c r="I206" s="15"/>
    </row>
    <row r="207">
      <c r="E207" s="15"/>
      <c r="F207" s="17"/>
      <c r="G207" s="15"/>
      <c r="I207" s="15"/>
    </row>
    <row r="208">
      <c r="E208" s="15"/>
      <c r="F208" s="17"/>
      <c r="G208" s="15"/>
      <c r="I208" s="15"/>
    </row>
    <row r="209">
      <c r="E209" s="15"/>
      <c r="F209" s="17"/>
      <c r="G209" s="15"/>
      <c r="I209" s="15"/>
    </row>
    <row r="210">
      <c r="E210" s="15"/>
      <c r="F210" s="17"/>
      <c r="G210" s="15"/>
      <c r="I210" s="15"/>
    </row>
    <row r="211">
      <c r="E211" s="15"/>
      <c r="F211" s="17"/>
      <c r="G211" s="15"/>
      <c r="I211" s="15"/>
    </row>
    <row r="212">
      <c r="E212" s="15"/>
      <c r="F212" s="17"/>
      <c r="G212" s="15"/>
      <c r="I212" s="15"/>
    </row>
    <row r="213">
      <c r="E213" s="15"/>
      <c r="F213" s="17"/>
      <c r="G213" s="15"/>
      <c r="I213" s="15"/>
    </row>
    <row r="214">
      <c r="E214" s="15"/>
      <c r="F214" s="17"/>
      <c r="G214" s="15"/>
      <c r="I214" s="15"/>
    </row>
    <row r="215">
      <c r="E215" s="15"/>
      <c r="F215" s="17"/>
      <c r="G215" s="15"/>
      <c r="I215" s="15"/>
    </row>
    <row r="216">
      <c r="E216" s="15"/>
      <c r="F216" s="17"/>
      <c r="G216" s="15"/>
      <c r="I216" s="15"/>
    </row>
    <row r="217">
      <c r="E217" s="15"/>
      <c r="F217" s="17"/>
      <c r="G217" s="15"/>
      <c r="I217" s="15"/>
    </row>
    <row r="218">
      <c r="E218" s="15"/>
      <c r="F218" s="17"/>
      <c r="G218" s="15"/>
      <c r="I218" s="15"/>
    </row>
    <row r="219">
      <c r="E219" s="15"/>
      <c r="F219" s="17"/>
      <c r="G219" s="15"/>
      <c r="I219" s="15"/>
    </row>
    <row r="220">
      <c r="E220" s="15"/>
      <c r="F220" s="17"/>
      <c r="G220" s="15"/>
      <c r="I220" s="15"/>
    </row>
    <row r="221">
      <c r="E221" s="15"/>
      <c r="F221" s="17"/>
      <c r="G221" s="15"/>
      <c r="I221" s="15"/>
    </row>
    <row r="222">
      <c r="E222" s="15"/>
      <c r="F222" s="17"/>
      <c r="G222" s="15"/>
      <c r="I222" s="15"/>
    </row>
    <row r="223">
      <c r="E223" s="15"/>
      <c r="F223" s="17"/>
      <c r="G223" s="15"/>
      <c r="I223" s="15"/>
    </row>
    <row r="224">
      <c r="E224" s="15"/>
      <c r="F224" s="17"/>
      <c r="G224" s="15"/>
      <c r="I224" s="15"/>
    </row>
    <row r="225">
      <c r="E225" s="15"/>
      <c r="F225" s="17"/>
      <c r="G225" s="15"/>
      <c r="I225" s="15"/>
    </row>
    <row r="226">
      <c r="E226" s="15"/>
      <c r="F226" s="17"/>
      <c r="G226" s="15"/>
      <c r="I226" s="15"/>
    </row>
    <row r="227">
      <c r="E227" s="15"/>
      <c r="F227" s="17"/>
      <c r="G227" s="15"/>
      <c r="I227" s="15"/>
    </row>
    <row r="228">
      <c r="E228" s="15"/>
      <c r="F228" s="17"/>
      <c r="G228" s="15"/>
      <c r="I228" s="15"/>
    </row>
    <row r="229">
      <c r="E229" s="15"/>
      <c r="F229" s="17"/>
      <c r="G229" s="15"/>
      <c r="I229" s="15"/>
    </row>
    <row r="230">
      <c r="E230" s="15"/>
      <c r="F230" s="17"/>
      <c r="G230" s="15"/>
      <c r="I230" s="15"/>
    </row>
    <row r="231">
      <c r="E231" s="15"/>
      <c r="F231" s="17"/>
      <c r="G231" s="15"/>
      <c r="I231" s="15"/>
    </row>
    <row r="232">
      <c r="E232" s="15"/>
      <c r="F232" s="17"/>
      <c r="G232" s="15"/>
      <c r="I232" s="15"/>
    </row>
    <row r="233">
      <c r="E233" s="15"/>
      <c r="F233" s="17"/>
      <c r="G233" s="15"/>
      <c r="I233" s="15"/>
    </row>
    <row r="234">
      <c r="E234" s="15"/>
      <c r="F234" s="17"/>
      <c r="G234" s="15"/>
      <c r="I234" s="15"/>
    </row>
    <row r="235">
      <c r="E235" s="15"/>
      <c r="F235" s="17"/>
      <c r="G235" s="15"/>
      <c r="I235" s="15"/>
    </row>
    <row r="236">
      <c r="E236" s="15"/>
      <c r="F236" s="17"/>
      <c r="G236" s="15"/>
      <c r="I236" s="15"/>
    </row>
    <row r="237">
      <c r="E237" s="15"/>
      <c r="F237" s="17"/>
      <c r="G237" s="15"/>
      <c r="I237" s="15"/>
    </row>
    <row r="238">
      <c r="E238" s="15"/>
      <c r="F238" s="17"/>
      <c r="G238" s="15"/>
      <c r="I238" s="15"/>
    </row>
    <row r="239">
      <c r="E239" s="15"/>
      <c r="F239" s="17"/>
      <c r="G239" s="15"/>
      <c r="I239" s="15"/>
    </row>
    <row r="240">
      <c r="E240" s="15"/>
      <c r="F240" s="17"/>
      <c r="G240" s="15"/>
      <c r="I240" s="15"/>
    </row>
    <row r="241">
      <c r="E241" s="15"/>
      <c r="F241" s="17"/>
      <c r="G241" s="15"/>
      <c r="I241" s="15"/>
    </row>
    <row r="242">
      <c r="E242" s="15"/>
      <c r="F242" s="17"/>
      <c r="G242" s="15"/>
      <c r="I242" s="15"/>
    </row>
    <row r="243">
      <c r="E243" s="15"/>
      <c r="F243" s="17"/>
      <c r="G243" s="15"/>
      <c r="I243" s="15"/>
    </row>
    <row r="244">
      <c r="E244" s="15"/>
      <c r="F244" s="17"/>
      <c r="G244" s="15"/>
      <c r="I244" s="15"/>
    </row>
    <row r="245">
      <c r="E245" s="15"/>
      <c r="F245" s="17"/>
      <c r="G245" s="15"/>
      <c r="I245" s="15"/>
    </row>
    <row r="246">
      <c r="E246" s="15"/>
      <c r="F246" s="17"/>
      <c r="G246" s="15"/>
      <c r="I246" s="15"/>
    </row>
    <row r="247">
      <c r="E247" s="15"/>
      <c r="F247" s="17"/>
      <c r="G247" s="15"/>
      <c r="I247" s="15"/>
    </row>
    <row r="248">
      <c r="E248" s="15"/>
      <c r="F248" s="17"/>
      <c r="G248" s="15"/>
      <c r="I248" s="15"/>
    </row>
    <row r="249">
      <c r="E249" s="15"/>
      <c r="F249" s="17"/>
      <c r="G249" s="15"/>
      <c r="I249" s="15"/>
    </row>
    <row r="250">
      <c r="E250" s="15"/>
      <c r="F250" s="17"/>
      <c r="G250" s="15"/>
      <c r="I250" s="15"/>
    </row>
    <row r="251">
      <c r="E251" s="15"/>
      <c r="F251" s="17"/>
      <c r="G251" s="15"/>
      <c r="I251" s="15"/>
    </row>
    <row r="252">
      <c r="E252" s="15"/>
      <c r="F252" s="17"/>
      <c r="G252" s="15"/>
      <c r="I252" s="15"/>
    </row>
    <row r="253">
      <c r="E253" s="15"/>
      <c r="F253" s="17"/>
      <c r="G253" s="15"/>
      <c r="I253" s="15"/>
    </row>
    <row r="254">
      <c r="E254" s="15"/>
      <c r="F254" s="17"/>
      <c r="G254" s="15"/>
      <c r="I254" s="15"/>
    </row>
    <row r="255">
      <c r="E255" s="15"/>
      <c r="F255" s="17"/>
      <c r="G255" s="15"/>
      <c r="I255" s="15"/>
    </row>
    <row r="256">
      <c r="E256" s="15"/>
      <c r="F256" s="17"/>
      <c r="G256" s="15"/>
      <c r="I256" s="15"/>
    </row>
    <row r="257">
      <c r="E257" s="15"/>
      <c r="F257" s="17"/>
      <c r="G257" s="15"/>
      <c r="I257" s="15"/>
    </row>
    <row r="258">
      <c r="E258" s="15"/>
      <c r="F258" s="17"/>
      <c r="G258" s="15"/>
      <c r="I258" s="15"/>
    </row>
    <row r="259">
      <c r="E259" s="15"/>
      <c r="F259" s="17"/>
      <c r="G259" s="15"/>
      <c r="I259" s="15"/>
    </row>
    <row r="260">
      <c r="E260" s="15"/>
      <c r="F260" s="17"/>
      <c r="G260" s="15"/>
      <c r="I260" s="15"/>
    </row>
    <row r="261">
      <c r="E261" s="15"/>
      <c r="F261" s="17"/>
      <c r="G261" s="15"/>
      <c r="I261" s="15"/>
    </row>
    <row r="262">
      <c r="E262" s="15"/>
      <c r="F262" s="17"/>
      <c r="G262" s="15"/>
      <c r="I262" s="15"/>
    </row>
    <row r="263">
      <c r="E263" s="15"/>
      <c r="F263" s="17"/>
      <c r="G263" s="15"/>
      <c r="I263" s="15"/>
    </row>
    <row r="264">
      <c r="E264" s="15"/>
      <c r="F264" s="17"/>
      <c r="G264" s="15"/>
      <c r="I264" s="15"/>
    </row>
    <row r="265">
      <c r="E265" s="15"/>
      <c r="F265" s="17"/>
      <c r="G265" s="15"/>
      <c r="I265" s="15"/>
    </row>
    <row r="266">
      <c r="E266" s="15"/>
      <c r="F266" s="17"/>
      <c r="G266" s="15"/>
      <c r="I266" s="15"/>
    </row>
    <row r="267">
      <c r="E267" s="15"/>
      <c r="F267" s="17"/>
      <c r="G267" s="15"/>
      <c r="I267" s="15"/>
    </row>
    <row r="268">
      <c r="E268" s="15"/>
      <c r="F268" s="17"/>
      <c r="G268" s="15"/>
      <c r="I268" s="15"/>
    </row>
    <row r="269">
      <c r="E269" s="15"/>
      <c r="F269" s="17"/>
      <c r="G269" s="15"/>
      <c r="I269" s="15"/>
    </row>
    <row r="270">
      <c r="E270" s="15"/>
      <c r="F270" s="17"/>
      <c r="G270" s="15"/>
      <c r="I270" s="15"/>
    </row>
    <row r="271">
      <c r="E271" s="15"/>
      <c r="F271" s="17"/>
      <c r="G271" s="15"/>
      <c r="I271" s="15"/>
    </row>
    <row r="272">
      <c r="E272" s="15"/>
      <c r="F272" s="17"/>
      <c r="G272" s="15"/>
      <c r="I272" s="15"/>
    </row>
    <row r="273">
      <c r="E273" s="15"/>
      <c r="F273" s="17"/>
      <c r="G273" s="15"/>
      <c r="I273" s="15"/>
    </row>
    <row r="274">
      <c r="E274" s="15"/>
      <c r="F274" s="17"/>
      <c r="G274" s="15"/>
      <c r="I274" s="15"/>
    </row>
    <row r="275">
      <c r="E275" s="15"/>
      <c r="F275" s="17"/>
      <c r="G275" s="15"/>
      <c r="I275" s="15"/>
    </row>
    <row r="276">
      <c r="E276" s="15"/>
      <c r="F276" s="17"/>
      <c r="G276" s="15"/>
      <c r="I276" s="15"/>
    </row>
    <row r="277">
      <c r="E277" s="15"/>
      <c r="F277" s="17"/>
      <c r="G277" s="15"/>
      <c r="I277" s="15"/>
    </row>
    <row r="278">
      <c r="E278" s="15"/>
      <c r="F278" s="17"/>
      <c r="G278" s="15"/>
      <c r="I278" s="15"/>
    </row>
    <row r="279">
      <c r="E279" s="15"/>
      <c r="F279" s="17"/>
      <c r="G279" s="15"/>
      <c r="I279" s="15"/>
    </row>
    <row r="280">
      <c r="E280" s="15"/>
      <c r="F280" s="17"/>
      <c r="G280" s="15"/>
      <c r="I280" s="15"/>
    </row>
    <row r="281">
      <c r="E281" s="15"/>
      <c r="F281" s="17"/>
      <c r="G281" s="15"/>
      <c r="I281" s="15"/>
    </row>
    <row r="282">
      <c r="E282" s="15"/>
      <c r="F282" s="17"/>
      <c r="G282" s="15"/>
      <c r="I282" s="15"/>
    </row>
    <row r="283">
      <c r="E283" s="15"/>
      <c r="F283" s="17"/>
      <c r="G283" s="15"/>
      <c r="I283" s="15"/>
    </row>
    <row r="284">
      <c r="E284" s="15"/>
      <c r="F284" s="17"/>
      <c r="G284" s="15"/>
      <c r="I284" s="15"/>
    </row>
    <row r="285">
      <c r="E285" s="15"/>
      <c r="F285" s="17"/>
      <c r="G285" s="15"/>
      <c r="I285" s="15"/>
    </row>
    <row r="286">
      <c r="E286" s="15"/>
      <c r="F286" s="17"/>
      <c r="G286" s="15"/>
      <c r="I286" s="15"/>
    </row>
    <row r="287">
      <c r="E287" s="15"/>
      <c r="F287" s="17"/>
      <c r="G287" s="15"/>
      <c r="I287" s="15"/>
    </row>
    <row r="288">
      <c r="E288" s="15"/>
      <c r="F288" s="17"/>
      <c r="G288" s="15"/>
      <c r="I288" s="15"/>
    </row>
    <row r="289">
      <c r="E289" s="15"/>
      <c r="F289" s="17"/>
      <c r="G289" s="15"/>
      <c r="I289" s="15"/>
    </row>
    <row r="290">
      <c r="E290" s="15"/>
      <c r="F290" s="17"/>
      <c r="G290" s="15"/>
      <c r="I290" s="15"/>
    </row>
    <row r="291">
      <c r="E291" s="15"/>
      <c r="F291" s="17"/>
      <c r="G291" s="15"/>
      <c r="I291" s="15"/>
    </row>
    <row r="292">
      <c r="E292" s="15"/>
      <c r="F292" s="17"/>
      <c r="G292" s="15"/>
      <c r="I292" s="15"/>
    </row>
    <row r="293">
      <c r="E293" s="15"/>
      <c r="F293" s="17"/>
      <c r="G293" s="15"/>
      <c r="I293" s="15"/>
    </row>
    <row r="294">
      <c r="E294" s="15"/>
      <c r="F294" s="17"/>
      <c r="G294" s="15"/>
      <c r="I294" s="15"/>
    </row>
    <row r="295">
      <c r="E295" s="15"/>
      <c r="F295" s="17"/>
      <c r="G295" s="15"/>
      <c r="I295" s="15"/>
    </row>
    <row r="296">
      <c r="E296" s="15"/>
      <c r="F296" s="17"/>
      <c r="G296" s="15"/>
      <c r="I296" s="15"/>
    </row>
    <row r="297">
      <c r="E297" s="15"/>
      <c r="F297" s="17"/>
      <c r="G297" s="15"/>
      <c r="I297" s="15"/>
    </row>
    <row r="298">
      <c r="E298" s="15"/>
      <c r="F298" s="17"/>
      <c r="G298" s="15"/>
      <c r="I298" s="15"/>
    </row>
    <row r="299">
      <c r="E299" s="15"/>
      <c r="F299" s="17"/>
      <c r="G299" s="15"/>
      <c r="I299" s="15"/>
    </row>
    <row r="300">
      <c r="E300" s="15"/>
      <c r="F300" s="17"/>
      <c r="G300" s="15"/>
      <c r="I300" s="15"/>
    </row>
    <row r="301">
      <c r="E301" s="15"/>
      <c r="F301" s="17"/>
      <c r="G301" s="15"/>
      <c r="I301" s="15"/>
    </row>
    <row r="302">
      <c r="E302" s="15"/>
      <c r="F302" s="17"/>
      <c r="G302" s="15"/>
      <c r="I302" s="15"/>
    </row>
    <row r="303">
      <c r="E303" s="15"/>
      <c r="F303" s="17"/>
      <c r="G303" s="15"/>
      <c r="I303" s="15"/>
    </row>
    <row r="304">
      <c r="E304" s="15"/>
      <c r="F304" s="17"/>
      <c r="G304" s="15"/>
      <c r="I304" s="15"/>
    </row>
    <row r="305">
      <c r="E305" s="15"/>
      <c r="F305" s="17"/>
      <c r="G305" s="15"/>
      <c r="I305" s="15"/>
    </row>
    <row r="306">
      <c r="E306" s="15"/>
      <c r="F306" s="17"/>
      <c r="G306" s="15"/>
      <c r="I306" s="15"/>
    </row>
    <row r="307">
      <c r="E307" s="15"/>
      <c r="F307" s="17"/>
      <c r="G307" s="15"/>
      <c r="I307" s="15"/>
    </row>
    <row r="308">
      <c r="E308" s="15"/>
      <c r="F308" s="17"/>
      <c r="G308" s="15"/>
      <c r="I308" s="15"/>
    </row>
    <row r="309">
      <c r="E309" s="15"/>
      <c r="F309" s="17"/>
      <c r="G309" s="15"/>
      <c r="I309" s="15"/>
    </row>
    <row r="310">
      <c r="E310" s="15"/>
      <c r="F310" s="17"/>
      <c r="G310" s="15"/>
      <c r="I310" s="15"/>
    </row>
    <row r="311">
      <c r="E311" s="15"/>
      <c r="F311" s="17"/>
      <c r="G311" s="15"/>
      <c r="I311" s="15"/>
    </row>
    <row r="312">
      <c r="E312" s="15"/>
      <c r="F312" s="17"/>
      <c r="G312" s="15"/>
      <c r="I312" s="15"/>
    </row>
    <row r="313">
      <c r="E313" s="15"/>
      <c r="F313" s="17"/>
      <c r="G313" s="15"/>
      <c r="I313" s="15"/>
    </row>
    <row r="314">
      <c r="E314" s="15"/>
      <c r="F314" s="17"/>
      <c r="G314" s="15"/>
      <c r="I314" s="15"/>
    </row>
    <row r="315">
      <c r="E315" s="15"/>
      <c r="F315" s="17"/>
      <c r="G315" s="15"/>
      <c r="I315" s="15"/>
    </row>
    <row r="316">
      <c r="E316" s="15"/>
      <c r="F316" s="17"/>
      <c r="G316" s="15"/>
      <c r="I316" s="15"/>
    </row>
    <row r="317">
      <c r="E317" s="15"/>
      <c r="F317" s="17"/>
      <c r="G317" s="15"/>
      <c r="I317" s="15"/>
    </row>
    <row r="318">
      <c r="E318" s="15"/>
      <c r="F318" s="17"/>
      <c r="G318" s="15"/>
      <c r="I318" s="15"/>
    </row>
    <row r="319">
      <c r="E319" s="15"/>
      <c r="F319" s="17"/>
      <c r="G319" s="15"/>
      <c r="I319" s="15"/>
    </row>
    <row r="320">
      <c r="E320" s="15"/>
      <c r="F320" s="17"/>
      <c r="G320" s="15"/>
      <c r="I320" s="15"/>
    </row>
    <row r="321">
      <c r="E321" s="15"/>
      <c r="F321" s="17"/>
      <c r="G321" s="15"/>
      <c r="I321" s="15"/>
    </row>
    <row r="322">
      <c r="E322" s="15"/>
      <c r="F322" s="17"/>
      <c r="G322" s="15"/>
      <c r="I322" s="15"/>
    </row>
    <row r="323">
      <c r="E323" s="15"/>
      <c r="F323" s="17"/>
      <c r="G323" s="15"/>
      <c r="I323" s="15"/>
    </row>
    <row r="324">
      <c r="E324" s="15"/>
      <c r="F324" s="17"/>
      <c r="G324" s="15"/>
      <c r="I324" s="15"/>
    </row>
    <row r="325">
      <c r="E325" s="15"/>
      <c r="F325" s="17"/>
      <c r="G325" s="15"/>
      <c r="I325" s="15"/>
    </row>
    <row r="326">
      <c r="E326" s="15"/>
      <c r="F326" s="17"/>
      <c r="G326" s="15"/>
      <c r="I326" s="15"/>
    </row>
    <row r="327">
      <c r="E327" s="15"/>
      <c r="F327" s="17"/>
      <c r="G327" s="15"/>
      <c r="I327" s="15"/>
    </row>
    <row r="328">
      <c r="E328" s="15"/>
      <c r="F328" s="17"/>
      <c r="G328" s="15"/>
      <c r="I328" s="15"/>
    </row>
    <row r="329">
      <c r="E329" s="15"/>
      <c r="F329" s="17"/>
      <c r="G329" s="15"/>
      <c r="I329" s="15"/>
    </row>
    <row r="330">
      <c r="E330" s="15"/>
      <c r="F330" s="17"/>
      <c r="G330" s="15"/>
      <c r="I330" s="15"/>
    </row>
    <row r="331">
      <c r="E331" s="15"/>
      <c r="F331" s="17"/>
      <c r="G331" s="15"/>
      <c r="I331" s="15"/>
    </row>
    <row r="332">
      <c r="E332" s="15"/>
      <c r="F332" s="17"/>
      <c r="G332" s="15"/>
      <c r="I332" s="15"/>
    </row>
    <row r="333">
      <c r="E333" s="15"/>
      <c r="F333" s="17"/>
      <c r="G333" s="15"/>
      <c r="I333" s="15"/>
    </row>
    <row r="334">
      <c r="E334" s="15"/>
      <c r="F334" s="17"/>
      <c r="G334" s="15"/>
      <c r="I334" s="15"/>
    </row>
    <row r="335">
      <c r="E335" s="15"/>
      <c r="F335" s="17"/>
      <c r="G335" s="15"/>
      <c r="I335" s="15"/>
    </row>
    <row r="336">
      <c r="E336" s="15"/>
      <c r="F336" s="17"/>
      <c r="G336" s="15"/>
      <c r="I336" s="15"/>
    </row>
    <row r="337">
      <c r="E337" s="15"/>
      <c r="F337" s="17"/>
      <c r="G337" s="15"/>
      <c r="I337" s="15"/>
    </row>
    <row r="338">
      <c r="E338" s="15"/>
      <c r="F338" s="17"/>
      <c r="G338" s="15"/>
      <c r="I338" s="15"/>
    </row>
    <row r="339">
      <c r="E339" s="15"/>
      <c r="F339" s="17"/>
      <c r="G339" s="15"/>
      <c r="I339" s="15"/>
    </row>
    <row r="340">
      <c r="E340" s="15"/>
      <c r="F340" s="17"/>
      <c r="G340" s="15"/>
      <c r="I340" s="15"/>
    </row>
    <row r="341">
      <c r="E341" s="15"/>
      <c r="F341" s="17"/>
      <c r="G341" s="15"/>
      <c r="I341" s="15"/>
    </row>
    <row r="342">
      <c r="E342" s="15"/>
      <c r="F342" s="17"/>
      <c r="G342" s="15"/>
      <c r="I342" s="15"/>
    </row>
    <row r="343">
      <c r="E343" s="15"/>
      <c r="F343" s="17"/>
      <c r="G343" s="15"/>
      <c r="I343" s="15"/>
    </row>
    <row r="344">
      <c r="E344" s="15"/>
      <c r="F344" s="17"/>
      <c r="G344" s="15"/>
      <c r="I344" s="15"/>
    </row>
    <row r="345">
      <c r="E345" s="15"/>
      <c r="F345" s="17"/>
      <c r="G345" s="15"/>
      <c r="I345" s="15"/>
    </row>
    <row r="346">
      <c r="E346" s="15"/>
      <c r="F346" s="17"/>
      <c r="G346" s="15"/>
      <c r="I346" s="15"/>
    </row>
    <row r="347">
      <c r="E347" s="15"/>
      <c r="F347" s="17"/>
      <c r="G347" s="15"/>
      <c r="I347" s="15"/>
    </row>
    <row r="348">
      <c r="E348" s="15"/>
      <c r="F348" s="17"/>
      <c r="G348" s="15"/>
      <c r="I348" s="15"/>
    </row>
    <row r="349">
      <c r="E349" s="15"/>
      <c r="F349" s="17"/>
      <c r="G349" s="15"/>
      <c r="I349" s="15"/>
    </row>
    <row r="350">
      <c r="E350" s="15"/>
      <c r="F350" s="17"/>
      <c r="G350" s="15"/>
      <c r="I350" s="15"/>
    </row>
    <row r="351">
      <c r="E351" s="15"/>
      <c r="F351" s="17"/>
      <c r="G351" s="15"/>
      <c r="I351" s="15"/>
    </row>
    <row r="352">
      <c r="E352" s="15"/>
      <c r="F352" s="17"/>
      <c r="G352" s="15"/>
      <c r="I352" s="15"/>
    </row>
    <row r="353">
      <c r="E353" s="15"/>
      <c r="F353" s="17"/>
      <c r="G353" s="15"/>
      <c r="I353" s="15"/>
    </row>
    <row r="354">
      <c r="E354" s="15"/>
      <c r="F354" s="17"/>
      <c r="G354" s="15"/>
      <c r="I354" s="15"/>
    </row>
    <row r="355">
      <c r="E355" s="15"/>
      <c r="F355" s="17"/>
      <c r="G355" s="15"/>
      <c r="I355" s="15"/>
    </row>
    <row r="356">
      <c r="E356" s="15"/>
      <c r="F356" s="17"/>
      <c r="G356" s="15"/>
      <c r="I356" s="15"/>
    </row>
    <row r="357">
      <c r="E357" s="15"/>
      <c r="F357" s="17"/>
      <c r="G357" s="15"/>
      <c r="I357" s="15"/>
    </row>
    <row r="358">
      <c r="E358" s="15"/>
      <c r="F358" s="17"/>
      <c r="G358" s="15"/>
      <c r="I358" s="15"/>
    </row>
    <row r="359">
      <c r="E359" s="15"/>
      <c r="F359" s="17"/>
      <c r="G359" s="15"/>
      <c r="I359" s="15"/>
    </row>
    <row r="360">
      <c r="E360" s="15"/>
      <c r="F360" s="17"/>
      <c r="G360" s="15"/>
      <c r="I360" s="15"/>
    </row>
    <row r="361">
      <c r="E361" s="15"/>
      <c r="F361" s="17"/>
      <c r="G361" s="15"/>
      <c r="I361" s="15"/>
    </row>
    <row r="362">
      <c r="E362" s="15"/>
      <c r="F362" s="17"/>
      <c r="G362" s="15"/>
      <c r="I362" s="15"/>
    </row>
    <row r="363">
      <c r="E363" s="15"/>
      <c r="F363" s="17"/>
      <c r="G363" s="15"/>
      <c r="I363" s="15"/>
    </row>
    <row r="364">
      <c r="E364" s="15"/>
      <c r="F364" s="17"/>
      <c r="G364" s="15"/>
      <c r="I364" s="15"/>
    </row>
    <row r="365">
      <c r="E365" s="15"/>
      <c r="F365" s="17"/>
      <c r="G365" s="15"/>
      <c r="I365" s="15"/>
    </row>
    <row r="366">
      <c r="E366" s="15"/>
      <c r="F366" s="17"/>
      <c r="G366" s="15"/>
      <c r="I366" s="15"/>
    </row>
    <row r="367">
      <c r="E367" s="15"/>
      <c r="F367" s="17"/>
      <c r="G367" s="15"/>
      <c r="I367" s="15"/>
    </row>
    <row r="368">
      <c r="E368" s="15"/>
      <c r="F368" s="17"/>
      <c r="G368" s="15"/>
      <c r="I368" s="15"/>
    </row>
    <row r="369">
      <c r="E369" s="15"/>
      <c r="F369" s="17"/>
      <c r="G369" s="15"/>
      <c r="I369" s="15"/>
    </row>
    <row r="370">
      <c r="E370" s="15"/>
      <c r="F370" s="17"/>
      <c r="G370" s="15"/>
      <c r="I370" s="15"/>
    </row>
    <row r="371">
      <c r="E371" s="15"/>
      <c r="F371" s="17"/>
      <c r="G371" s="15"/>
      <c r="I371" s="15"/>
    </row>
    <row r="372">
      <c r="E372" s="15"/>
      <c r="F372" s="17"/>
      <c r="G372" s="15"/>
      <c r="I372" s="15"/>
    </row>
    <row r="373">
      <c r="E373" s="15"/>
      <c r="F373" s="17"/>
      <c r="G373" s="15"/>
      <c r="I373" s="15"/>
    </row>
    <row r="374">
      <c r="E374" s="15"/>
      <c r="F374" s="17"/>
      <c r="G374" s="15"/>
      <c r="I374" s="15"/>
    </row>
    <row r="375">
      <c r="E375" s="15"/>
      <c r="F375" s="17"/>
      <c r="G375" s="15"/>
      <c r="I375" s="15"/>
    </row>
    <row r="376">
      <c r="E376" s="15"/>
      <c r="F376" s="17"/>
      <c r="G376" s="15"/>
      <c r="I376" s="15"/>
    </row>
    <row r="377">
      <c r="E377" s="15"/>
      <c r="F377" s="17"/>
      <c r="G377" s="15"/>
      <c r="I377" s="15"/>
    </row>
    <row r="378">
      <c r="E378" s="15"/>
      <c r="F378" s="17"/>
      <c r="G378" s="15"/>
      <c r="I378" s="15"/>
    </row>
    <row r="379">
      <c r="E379" s="15"/>
      <c r="F379" s="17"/>
      <c r="G379" s="15"/>
      <c r="I379" s="15"/>
    </row>
    <row r="380">
      <c r="E380" s="15"/>
      <c r="F380" s="17"/>
      <c r="G380" s="15"/>
      <c r="I380" s="15"/>
    </row>
    <row r="381">
      <c r="E381" s="15"/>
      <c r="F381" s="17"/>
      <c r="G381" s="15"/>
      <c r="I381" s="15"/>
    </row>
    <row r="382">
      <c r="E382" s="15"/>
      <c r="F382" s="17"/>
      <c r="G382" s="15"/>
      <c r="I382" s="15"/>
    </row>
    <row r="383">
      <c r="E383" s="15"/>
      <c r="F383" s="17"/>
      <c r="G383" s="15"/>
      <c r="I383" s="15"/>
    </row>
    <row r="384">
      <c r="E384" s="15"/>
      <c r="F384" s="17"/>
      <c r="G384" s="15"/>
      <c r="I384" s="15"/>
    </row>
    <row r="385">
      <c r="E385" s="15"/>
      <c r="F385" s="17"/>
      <c r="G385" s="15"/>
      <c r="I385" s="15"/>
    </row>
    <row r="386">
      <c r="E386" s="15"/>
      <c r="F386" s="17"/>
      <c r="G386" s="15"/>
      <c r="I386" s="15"/>
    </row>
    <row r="387">
      <c r="E387" s="15"/>
      <c r="F387" s="17"/>
      <c r="G387" s="15"/>
      <c r="I387" s="15"/>
    </row>
    <row r="388">
      <c r="E388" s="15"/>
      <c r="F388" s="17"/>
      <c r="G388" s="15"/>
      <c r="I388" s="15"/>
    </row>
    <row r="389">
      <c r="E389" s="15"/>
      <c r="F389" s="17"/>
      <c r="G389" s="15"/>
      <c r="I389" s="15"/>
    </row>
    <row r="390">
      <c r="E390" s="15"/>
      <c r="F390" s="17"/>
      <c r="G390" s="15"/>
      <c r="I390" s="15"/>
    </row>
    <row r="391">
      <c r="E391" s="15"/>
      <c r="F391" s="17"/>
      <c r="G391" s="15"/>
      <c r="I391" s="15"/>
    </row>
    <row r="392">
      <c r="E392" s="15"/>
      <c r="F392" s="17"/>
      <c r="G392" s="15"/>
      <c r="I392" s="15"/>
    </row>
    <row r="393">
      <c r="E393" s="15"/>
      <c r="F393" s="17"/>
      <c r="G393" s="15"/>
      <c r="I393" s="15"/>
    </row>
    <row r="394">
      <c r="E394" s="15"/>
      <c r="F394" s="17"/>
      <c r="G394" s="15"/>
      <c r="I394" s="15"/>
    </row>
    <row r="395">
      <c r="E395" s="15"/>
      <c r="F395" s="17"/>
      <c r="G395" s="15"/>
      <c r="I395" s="15"/>
    </row>
    <row r="396">
      <c r="E396" s="15"/>
      <c r="F396" s="17"/>
      <c r="G396" s="15"/>
      <c r="I396" s="15"/>
    </row>
    <row r="397">
      <c r="E397" s="15"/>
      <c r="F397" s="17"/>
      <c r="G397" s="15"/>
      <c r="I397" s="15"/>
    </row>
    <row r="398">
      <c r="E398" s="15"/>
      <c r="F398" s="17"/>
      <c r="G398" s="15"/>
      <c r="I398" s="15"/>
    </row>
    <row r="399">
      <c r="E399" s="15"/>
      <c r="F399" s="17"/>
      <c r="G399" s="15"/>
      <c r="I399" s="15"/>
    </row>
    <row r="400">
      <c r="E400" s="15"/>
      <c r="F400" s="17"/>
      <c r="G400" s="15"/>
      <c r="I400" s="15"/>
    </row>
    <row r="401">
      <c r="E401" s="15"/>
      <c r="F401" s="17"/>
      <c r="G401" s="15"/>
      <c r="I401" s="15"/>
    </row>
    <row r="402">
      <c r="E402" s="15"/>
      <c r="F402" s="17"/>
      <c r="G402" s="15"/>
      <c r="I402" s="15"/>
    </row>
    <row r="403">
      <c r="E403" s="15"/>
      <c r="F403" s="17"/>
      <c r="G403" s="15"/>
      <c r="I403" s="15"/>
    </row>
    <row r="404">
      <c r="E404" s="15"/>
      <c r="F404" s="17"/>
      <c r="G404" s="15"/>
      <c r="I404" s="15"/>
    </row>
    <row r="405">
      <c r="E405" s="15"/>
      <c r="F405" s="17"/>
      <c r="G405" s="15"/>
      <c r="I405" s="15"/>
    </row>
    <row r="406">
      <c r="E406" s="15"/>
      <c r="F406" s="17"/>
      <c r="G406" s="15"/>
      <c r="I406" s="15"/>
    </row>
    <row r="407">
      <c r="E407" s="15"/>
      <c r="F407" s="17"/>
      <c r="G407" s="15"/>
      <c r="I407" s="15"/>
    </row>
    <row r="408">
      <c r="E408" s="15"/>
      <c r="F408" s="17"/>
      <c r="G408" s="15"/>
      <c r="I408" s="15"/>
    </row>
    <row r="409">
      <c r="E409" s="15"/>
      <c r="F409" s="17"/>
      <c r="G409" s="15"/>
      <c r="I409" s="15"/>
    </row>
    <row r="410">
      <c r="E410" s="15"/>
      <c r="F410" s="17"/>
      <c r="G410" s="15"/>
      <c r="I410" s="15"/>
    </row>
    <row r="411">
      <c r="E411" s="15"/>
      <c r="F411" s="17"/>
      <c r="G411" s="15"/>
      <c r="I411" s="15"/>
    </row>
    <row r="412">
      <c r="E412" s="15"/>
      <c r="F412" s="17"/>
      <c r="G412" s="15"/>
      <c r="I412" s="15"/>
    </row>
    <row r="413">
      <c r="E413" s="15"/>
      <c r="F413" s="17"/>
      <c r="G413" s="15"/>
      <c r="I413" s="15"/>
    </row>
    <row r="414">
      <c r="E414" s="15"/>
      <c r="F414" s="17"/>
      <c r="G414" s="15"/>
      <c r="I414" s="15"/>
    </row>
    <row r="415">
      <c r="E415" s="15"/>
      <c r="F415" s="17"/>
      <c r="G415" s="15"/>
      <c r="I415" s="15"/>
    </row>
    <row r="416">
      <c r="E416" s="15"/>
      <c r="F416" s="17"/>
      <c r="G416" s="15"/>
      <c r="I416" s="15"/>
    </row>
    <row r="417">
      <c r="E417" s="15"/>
      <c r="F417" s="17"/>
      <c r="G417" s="15"/>
      <c r="I417" s="15"/>
    </row>
    <row r="418">
      <c r="E418" s="15"/>
      <c r="F418" s="17"/>
      <c r="G418" s="15"/>
      <c r="I418" s="15"/>
    </row>
    <row r="419">
      <c r="E419" s="15"/>
      <c r="F419" s="17"/>
      <c r="G419" s="15"/>
      <c r="I419" s="15"/>
    </row>
    <row r="420">
      <c r="E420" s="15"/>
      <c r="F420" s="17"/>
      <c r="G420" s="15"/>
      <c r="I420" s="15"/>
    </row>
    <row r="421">
      <c r="E421" s="15"/>
      <c r="F421" s="17"/>
      <c r="G421" s="15"/>
      <c r="I421" s="15"/>
    </row>
    <row r="422">
      <c r="E422" s="15"/>
      <c r="F422" s="17"/>
      <c r="G422" s="15"/>
      <c r="I422" s="15"/>
    </row>
    <row r="423">
      <c r="E423" s="15"/>
      <c r="F423" s="17"/>
      <c r="G423" s="15"/>
      <c r="I423" s="15"/>
    </row>
    <row r="424">
      <c r="E424" s="15"/>
      <c r="F424" s="17"/>
      <c r="G424" s="15"/>
      <c r="I424" s="15"/>
    </row>
    <row r="425">
      <c r="E425" s="15"/>
      <c r="F425" s="17"/>
      <c r="G425" s="15"/>
      <c r="I425" s="15"/>
    </row>
    <row r="426">
      <c r="E426" s="15"/>
      <c r="F426" s="17"/>
      <c r="G426" s="15"/>
      <c r="I426" s="15"/>
    </row>
    <row r="427">
      <c r="E427" s="15"/>
      <c r="F427" s="17"/>
      <c r="G427" s="15"/>
      <c r="I427" s="15"/>
    </row>
    <row r="428">
      <c r="E428" s="15"/>
      <c r="F428" s="17"/>
      <c r="G428" s="15"/>
      <c r="I428" s="15"/>
    </row>
    <row r="429">
      <c r="E429" s="15"/>
      <c r="F429" s="17"/>
      <c r="G429" s="15"/>
      <c r="I429" s="15"/>
    </row>
    <row r="430">
      <c r="E430" s="15"/>
      <c r="F430" s="17"/>
      <c r="G430" s="15"/>
      <c r="I430" s="15"/>
    </row>
    <row r="431">
      <c r="E431" s="15"/>
      <c r="F431" s="17"/>
      <c r="G431" s="15"/>
      <c r="I431" s="15"/>
    </row>
    <row r="432">
      <c r="E432" s="15"/>
      <c r="F432" s="17"/>
      <c r="G432" s="15"/>
      <c r="I432" s="15"/>
    </row>
    <row r="433">
      <c r="E433" s="15"/>
      <c r="F433" s="17"/>
      <c r="G433" s="15"/>
      <c r="I433" s="15"/>
    </row>
    <row r="434">
      <c r="E434" s="15"/>
      <c r="F434" s="17"/>
      <c r="G434" s="15"/>
      <c r="I434" s="15"/>
    </row>
    <row r="435">
      <c r="E435" s="15"/>
      <c r="F435" s="17"/>
      <c r="G435" s="15"/>
      <c r="I435" s="15"/>
    </row>
    <row r="436">
      <c r="E436" s="15"/>
      <c r="F436" s="17"/>
      <c r="G436" s="15"/>
      <c r="I436" s="15"/>
    </row>
    <row r="437">
      <c r="E437" s="15"/>
      <c r="F437" s="17"/>
      <c r="G437" s="15"/>
      <c r="I437" s="15"/>
    </row>
    <row r="438">
      <c r="E438" s="15"/>
      <c r="F438" s="17"/>
      <c r="G438" s="15"/>
      <c r="I438" s="15"/>
    </row>
    <row r="439">
      <c r="E439" s="15"/>
      <c r="F439" s="17"/>
      <c r="G439" s="15"/>
      <c r="I439" s="15"/>
    </row>
    <row r="440">
      <c r="E440" s="15"/>
      <c r="F440" s="17"/>
      <c r="G440" s="15"/>
      <c r="I440" s="15"/>
    </row>
    <row r="441">
      <c r="E441" s="15"/>
      <c r="F441" s="17"/>
      <c r="G441" s="15"/>
      <c r="I441" s="15"/>
    </row>
    <row r="442">
      <c r="E442" s="15"/>
      <c r="F442" s="17"/>
      <c r="G442" s="15"/>
      <c r="I442" s="15"/>
    </row>
    <row r="443">
      <c r="E443" s="15"/>
      <c r="F443" s="17"/>
      <c r="G443" s="15"/>
      <c r="I443" s="15"/>
    </row>
    <row r="444">
      <c r="E444" s="15"/>
      <c r="F444" s="17"/>
      <c r="G444" s="15"/>
      <c r="I444" s="15"/>
    </row>
    <row r="445">
      <c r="E445" s="15"/>
      <c r="F445" s="17"/>
      <c r="G445" s="15"/>
      <c r="I445" s="15"/>
    </row>
    <row r="446">
      <c r="E446" s="15"/>
      <c r="F446" s="17"/>
      <c r="G446" s="15"/>
      <c r="I446" s="15"/>
    </row>
    <row r="447">
      <c r="E447" s="15"/>
      <c r="F447" s="17"/>
      <c r="G447" s="15"/>
      <c r="I447" s="15"/>
    </row>
    <row r="448">
      <c r="E448" s="15"/>
      <c r="F448" s="17"/>
      <c r="G448" s="15"/>
      <c r="I448" s="15"/>
    </row>
    <row r="449">
      <c r="E449" s="15"/>
      <c r="F449" s="17"/>
      <c r="G449" s="15"/>
      <c r="I449" s="15"/>
    </row>
    <row r="450">
      <c r="E450" s="15"/>
      <c r="F450" s="17"/>
      <c r="G450" s="15"/>
      <c r="I450" s="15"/>
    </row>
    <row r="451">
      <c r="E451" s="15"/>
      <c r="F451" s="17"/>
      <c r="G451" s="15"/>
      <c r="I451" s="15"/>
    </row>
    <row r="452">
      <c r="E452" s="15"/>
      <c r="F452" s="17"/>
      <c r="G452" s="15"/>
      <c r="I452" s="15"/>
    </row>
    <row r="453">
      <c r="E453" s="15"/>
      <c r="F453" s="17"/>
      <c r="G453" s="15"/>
      <c r="I453" s="15"/>
    </row>
    <row r="454">
      <c r="E454" s="15"/>
      <c r="F454" s="17"/>
      <c r="G454" s="15"/>
      <c r="I454" s="15"/>
    </row>
    <row r="455">
      <c r="E455" s="15"/>
      <c r="F455" s="17"/>
      <c r="G455" s="15"/>
      <c r="I455" s="15"/>
    </row>
    <row r="456">
      <c r="E456" s="15"/>
      <c r="F456" s="17"/>
      <c r="G456" s="15"/>
      <c r="I456" s="15"/>
    </row>
    <row r="457">
      <c r="E457" s="15"/>
      <c r="F457" s="17"/>
      <c r="G457" s="15"/>
      <c r="I457" s="15"/>
    </row>
    <row r="458">
      <c r="E458" s="15"/>
      <c r="F458" s="17"/>
      <c r="G458" s="15"/>
      <c r="I458" s="15"/>
    </row>
    <row r="459">
      <c r="E459" s="15"/>
      <c r="F459" s="17"/>
      <c r="G459" s="15"/>
      <c r="I459" s="15"/>
    </row>
    <row r="460">
      <c r="E460" s="15"/>
      <c r="F460" s="17"/>
      <c r="G460" s="15"/>
      <c r="I460" s="15"/>
    </row>
    <row r="461">
      <c r="E461" s="15"/>
      <c r="F461" s="17"/>
      <c r="G461" s="15"/>
      <c r="I461" s="15"/>
    </row>
    <row r="462">
      <c r="E462" s="15"/>
      <c r="F462" s="17"/>
      <c r="G462" s="15"/>
      <c r="I462" s="15"/>
    </row>
    <row r="463">
      <c r="E463" s="15"/>
      <c r="F463" s="17"/>
      <c r="G463" s="15"/>
      <c r="I463" s="15"/>
    </row>
    <row r="464">
      <c r="E464" s="15"/>
      <c r="F464" s="17"/>
      <c r="G464" s="15"/>
      <c r="I464" s="15"/>
    </row>
    <row r="465">
      <c r="E465" s="15"/>
      <c r="F465" s="17"/>
      <c r="G465" s="15"/>
      <c r="I465" s="15"/>
    </row>
    <row r="466">
      <c r="E466" s="15"/>
      <c r="F466" s="17"/>
      <c r="G466" s="15"/>
      <c r="I466" s="15"/>
    </row>
    <row r="467">
      <c r="E467" s="15"/>
      <c r="F467" s="17"/>
      <c r="G467" s="15"/>
      <c r="I467" s="15"/>
    </row>
    <row r="468">
      <c r="E468" s="15"/>
      <c r="F468" s="17"/>
      <c r="G468" s="15"/>
      <c r="I468" s="15"/>
    </row>
    <row r="469">
      <c r="E469" s="15"/>
      <c r="F469" s="17"/>
      <c r="G469" s="15"/>
      <c r="I469" s="15"/>
    </row>
    <row r="470">
      <c r="E470" s="15"/>
      <c r="F470" s="17"/>
      <c r="G470" s="15"/>
      <c r="I470" s="15"/>
    </row>
    <row r="471">
      <c r="E471" s="15"/>
      <c r="F471" s="17"/>
      <c r="G471" s="15"/>
      <c r="I471" s="15"/>
    </row>
    <row r="472">
      <c r="E472" s="15"/>
      <c r="F472" s="17"/>
      <c r="G472" s="15"/>
      <c r="I472" s="15"/>
    </row>
    <row r="473">
      <c r="E473" s="15"/>
      <c r="F473" s="17"/>
      <c r="G473" s="15"/>
      <c r="I473" s="15"/>
    </row>
    <row r="474">
      <c r="E474" s="15"/>
      <c r="F474" s="17"/>
      <c r="G474" s="15"/>
      <c r="I474" s="15"/>
    </row>
    <row r="475">
      <c r="E475" s="15"/>
      <c r="F475" s="17"/>
      <c r="G475" s="15"/>
      <c r="I475" s="15"/>
    </row>
    <row r="476">
      <c r="E476" s="15"/>
      <c r="F476" s="17"/>
      <c r="G476" s="15"/>
      <c r="I476" s="15"/>
    </row>
    <row r="477">
      <c r="E477" s="15"/>
      <c r="F477" s="17"/>
      <c r="G477" s="15"/>
      <c r="I477" s="15"/>
    </row>
    <row r="478">
      <c r="E478" s="15"/>
      <c r="F478" s="17"/>
      <c r="G478" s="15"/>
      <c r="I478" s="15"/>
    </row>
    <row r="479">
      <c r="E479" s="15"/>
      <c r="F479" s="17"/>
      <c r="G479" s="15"/>
      <c r="I479" s="15"/>
    </row>
    <row r="480">
      <c r="E480" s="15"/>
      <c r="F480" s="17"/>
      <c r="G480" s="15"/>
      <c r="I480" s="15"/>
    </row>
    <row r="481">
      <c r="E481" s="15"/>
      <c r="F481" s="17"/>
      <c r="G481" s="15"/>
      <c r="I481" s="15"/>
    </row>
    <row r="482">
      <c r="E482" s="15"/>
      <c r="F482" s="17"/>
      <c r="G482" s="15"/>
      <c r="I482" s="15"/>
    </row>
    <row r="483">
      <c r="E483" s="15"/>
      <c r="F483" s="17"/>
      <c r="G483" s="15"/>
      <c r="I483" s="15"/>
    </row>
    <row r="484">
      <c r="E484" s="15"/>
      <c r="F484" s="17"/>
      <c r="G484" s="15"/>
      <c r="I484" s="15"/>
    </row>
    <row r="485">
      <c r="E485" s="15"/>
      <c r="F485" s="17"/>
      <c r="G485" s="15"/>
      <c r="I485" s="15"/>
    </row>
    <row r="486">
      <c r="E486" s="15"/>
      <c r="F486" s="17"/>
      <c r="G486" s="15"/>
      <c r="I486" s="15"/>
    </row>
    <row r="487">
      <c r="E487" s="15"/>
      <c r="F487" s="17"/>
      <c r="G487" s="15"/>
      <c r="I487" s="15"/>
    </row>
    <row r="488">
      <c r="E488" s="15"/>
      <c r="F488" s="17"/>
      <c r="G488" s="15"/>
      <c r="I488" s="15"/>
    </row>
    <row r="489">
      <c r="E489" s="15"/>
      <c r="F489" s="17"/>
      <c r="G489" s="15"/>
      <c r="I489" s="15"/>
    </row>
    <row r="490">
      <c r="E490" s="15"/>
      <c r="F490" s="17"/>
      <c r="G490" s="15"/>
      <c r="I490" s="15"/>
    </row>
    <row r="491">
      <c r="E491" s="15"/>
      <c r="F491" s="17"/>
      <c r="G491" s="15"/>
      <c r="I491" s="15"/>
    </row>
    <row r="492">
      <c r="E492" s="15"/>
      <c r="F492" s="17"/>
      <c r="G492" s="15"/>
      <c r="I492" s="15"/>
    </row>
    <row r="493">
      <c r="E493" s="15"/>
      <c r="F493" s="17"/>
      <c r="G493" s="15"/>
      <c r="I493" s="15"/>
    </row>
    <row r="494">
      <c r="E494" s="15"/>
      <c r="F494" s="17"/>
      <c r="G494" s="15"/>
      <c r="I494" s="15"/>
    </row>
    <row r="495">
      <c r="E495" s="15"/>
      <c r="F495" s="17"/>
      <c r="G495" s="15"/>
      <c r="I495" s="15"/>
    </row>
    <row r="496">
      <c r="E496" s="15"/>
      <c r="F496" s="17"/>
      <c r="G496" s="15"/>
      <c r="I496" s="15"/>
    </row>
    <row r="497">
      <c r="E497" s="15"/>
      <c r="F497" s="17"/>
      <c r="G497" s="15"/>
      <c r="I497" s="15"/>
    </row>
    <row r="498">
      <c r="E498" s="15"/>
      <c r="F498" s="17"/>
      <c r="G498" s="15"/>
      <c r="I498" s="15"/>
    </row>
    <row r="499">
      <c r="E499" s="15"/>
      <c r="F499" s="17"/>
      <c r="G499" s="15"/>
      <c r="I499" s="15"/>
    </row>
    <row r="500">
      <c r="E500" s="15"/>
      <c r="F500" s="17"/>
      <c r="G500" s="15"/>
      <c r="I500" s="15"/>
    </row>
    <row r="501">
      <c r="E501" s="15"/>
      <c r="F501" s="17"/>
      <c r="G501" s="15"/>
      <c r="I501" s="15"/>
    </row>
    <row r="502">
      <c r="E502" s="15"/>
      <c r="F502" s="17"/>
      <c r="G502" s="15"/>
      <c r="I502" s="15"/>
    </row>
    <row r="503">
      <c r="E503" s="15"/>
      <c r="F503" s="17"/>
      <c r="G503" s="15"/>
      <c r="I503" s="15"/>
    </row>
    <row r="504">
      <c r="E504" s="15"/>
      <c r="F504" s="17"/>
      <c r="G504" s="15"/>
      <c r="I504" s="15"/>
    </row>
    <row r="505">
      <c r="E505" s="15"/>
      <c r="F505" s="17"/>
      <c r="G505" s="15"/>
      <c r="I505" s="15"/>
    </row>
    <row r="506">
      <c r="E506" s="15"/>
      <c r="F506" s="17"/>
      <c r="G506" s="15"/>
      <c r="I506" s="15"/>
    </row>
    <row r="507">
      <c r="E507" s="15"/>
      <c r="F507" s="17"/>
      <c r="G507" s="15"/>
      <c r="I507" s="15"/>
    </row>
    <row r="508">
      <c r="E508" s="15"/>
      <c r="F508" s="17"/>
      <c r="G508" s="15"/>
      <c r="I508" s="15"/>
    </row>
    <row r="509">
      <c r="E509" s="15"/>
      <c r="F509" s="17"/>
      <c r="G509" s="15"/>
      <c r="I509" s="15"/>
    </row>
    <row r="510">
      <c r="E510" s="15"/>
      <c r="F510" s="17"/>
      <c r="G510" s="15"/>
      <c r="I510" s="15"/>
    </row>
    <row r="511">
      <c r="E511" s="15"/>
      <c r="F511" s="17"/>
      <c r="G511" s="15"/>
      <c r="I511" s="15"/>
    </row>
    <row r="512">
      <c r="E512" s="15"/>
      <c r="F512" s="17"/>
      <c r="G512" s="15"/>
      <c r="I512" s="15"/>
    </row>
    <row r="513">
      <c r="E513" s="15"/>
      <c r="F513" s="17"/>
      <c r="G513" s="15"/>
      <c r="I513" s="15"/>
    </row>
    <row r="514">
      <c r="E514" s="15"/>
      <c r="F514" s="17"/>
      <c r="G514" s="15"/>
      <c r="I514" s="15"/>
    </row>
    <row r="515">
      <c r="E515" s="15"/>
      <c r="F515" s="17"/>
      <c r="G515" s="15"/>
      <c r="I515" s="15"/>
    </row>
    <row r="516">
      <c r="E516" s="15"/>
      <c r="F516" s="17"/>
      <c r="G516" s="15"/>
      <c r="I516" s="15"/>
    </row>
    <row r="517">
      <c r="E517" s="15"/>
      <c r="F517" s="17"/>
      <c r="G517" s="15"/>
      <c r="I517" s="15"/>
    </row>
    <row r="518">
      <c r="E518" s="15"/>
      <c r="F518" s="17"/>
      <c r="G518" s="15"/>
      <c r="I518" s="15"/>
    </row>
    <row r="519">
      <c r="E519" s="15"/>
      <c r="F519" s="17"/>
      <c r="G519" s="15"/>
      <c r="I519" s="15"/>
    </row>
    <row r="520">
      <c r="E520" s="15"/>
      <c r="F520" s="17"/>
      <c r="G520" s="15"/>
      <c r="I520" s="15"/>
    </row>
    <row r="521">
      <c r="E521" s="15"/>
      <c r="F521" s="17"/>
      <c r="G521" s="15"/>
      <c r="I521" s="15"/>
    </row>
    <row r="522">
      <c r="E522" s="15"/>
      <c r="F522" s="17"/>
      <c r="G522" s="15"/>
      <c r="I522" s="15"/>
    </row>
    <row r="523">
      <c r="E523" s="15"/>
      <c r="F523" s="17"/>
      <c r="G523" s="15"/>
      <c r="I523" s="15"/>
    </row>
    <row r="524">
      <c r="E524" s="15"/>
      <c r="F524" s="17"/>
      <c r="G524" s="15"/>
      <c r="I524" s="15"/>
    </row>
    <row r="525">
      <c r="E525" s="15"/>
      <c r="F525" s="17"/>
      <c r="G525" s="15"/>
      <c r="I525" s="15"/>
    </row>
    <row r="526">
      <c r="E526" s="15"/>
      <c r="F526" s="17"/>
      <c r="G526" s="15"/>
      <c r="I526" s="15"/>
    </row>
    <row r="527">
      <c r="E527" s="15"/>
      <c r="F527" s="17"/>
      <c r="G527" s="15"/>
      <c r="I527" s="15"/>
    </row>
    <row r="528">
      <c r="E528" s="15"/>
      <c r="F528" s="17"/>
      <c r="G528" s="15"/>
      <c r="I528" s="15"/>
    </row>
    <row r="529">
      <c r="E529" s="15"/>
      <c r="F529" s="17"/>
      <c r="G529" s="15"/>
      <c r="I529" s="15"/>
    </row>
    <row r="530">
      <c r="E530" s="15"/>
      <c r="F530" s="17"/>
      <c r="G530" s="15"/>
      <c r="I530" s="15"/>
    </row>
    <row r="531">
      <c r="E531" s="15"/>
      <c r="F531" s="17"/>
      <c r="G531" s="15"/>
      <c r="I531" s="15"/>
    </row>
    <row r="532">
      <c r="E532" s="15"/>
      <c r="F532" s="17"/>
      <c r="G532" s="15"/>
      <c r="I532" s="15"/>
    </row>
    <row r="533">
      <c r="E533" s="15"/>
      <c r="F533" s="17"/>
      <c r="G533" s="15"/>
      <c r="I533" s="15"/>
    </row>
    <row r="534">
      <c r="E534" s="15"/>
      <c r="F534" s="17"/>
      <c r="G534" s="15"/>
      <c r="I534" s="15"/>
    </row>
    <row r="535">
      <c r="E535" s="15"/>
      <c r="F535" s="17"/>
      <c r="G535" s="15"/>
      <c r="I535" s="15"/>
    </row>
    <row r="536">
      <c r="E536" s="15"/>
      <c r="F536" s="17"/>
      <c r="G536" s="15"/>
      <c r="I536" s="15"/>
    </row>
    <row r="537">
      <c r="E537" s="15"/>
      <c r="F537" s="17"/>
      <c r="G537" s="15"/>
      <c r="I537" s="15"/>
    </row>
    <row r="538">
      <c r="E538" s="15"/>
      <c r="F538" s="17"/>
      <c r="G538" s="15"/>
      <c r="I538" s="15"/>
    </row>
    <row r="539">
      <c r="E539" s="15"/>
      <c r="F539" s="17"/>
      <c r="G539" s="15"/>
      <c r="I539" s="15"/>
    </row>
    <row r="540">
      <c r="E540" s="15"/>
      <c r="F540" s="17"/>
      <c r="G540" s="15"/>
      <c r="I540" s="15"/>
    </row>
    <row r="541">
      <c r="E541" s="15"/>
      <c r="F541" s="17"/>
      <c r="G541" s="15"/>
      <c r="I541" s="15"/>
    </row>
    <row r="542">
      <c r="E542" s="15"/>
      <c r="F542" s="17"/>
      <c r="G542" s="15"/>
      <c r="I542" s="15"/>
    </row>
    <row r="543">
      <c r="E543" s="15"/>
      <c r="F543" s="17"/>
      <c r="G543" s="15"/>
      <c r="I543" s="15"/>
    </row>
    <row r="544">
      <c r="E544" s="15"/>
      <c r="F544" s="17"/>
      <c r="G544" s="15"/>
      <c r="I544" s="15"/>
    </row>
    <row r="545">
      <c r="E545" s="15"/>
      <c r="F545" s="17"/>
      <c r="G545" s="15"/>
      <c r="I545" s="15"/>
    </row>
    <row r="546">
      <c r="E546" s="15"/>
      <c r="F546" s="17"/>
      <c r="G546" s="15"/>
      <c r="I546" s="15"/>
    </row>
    <row r="547">
      <c r="E547" s="15"/>
      <c r="F547" s="17"/>
      <c r="G547" s="15"/>
      <c r="I547" s="15"/>
    </row>
    <row r="548">
      <c r="E548" s="15"/>
      <c r="F548" s="17"/>
      <c r="G548" s="15"/>
      <c r="I548" s="15"/>
    </row>
    <row r="549">
      <c r="E549" s="15"/>
      <c r="F549" s="17"/>
      <c r="G549" s="15"/>
      <c r="I549" s="15"/>
    </row>
    <row r="550">
      <c r="E550" s="15"/>
      <c r="F550" s="17"/>
      <c r="G550" s="15"/>
      <c r="I550" s="15"/>
    </row>
    <row r="551">
      <c r="E551" s="15"/>
      <c r="F551" s="17"/>
      <c r="G551" s="15"/>
      <c r="I551" s="15"/>
    </row>
    <row r="552">
      <c r="E552" s="15"/>
      <c r="F552" s="17"/>
      <c r="G552" s="15"/>
      <c r="I552" s="15"/>
    </row>
    <row r="553">
      <c r="E553" s="15"/>
      <c r="F553" s="17"/>
      <c r="G553" s="15"/>
      <c r="I553" s="15"/>
    </row>
    <row r="554">
      <c r="E554" s="15"/>
      <c r="F554" s="17"/>
      <c r="G554" s="15"/>
      <c r="I554" s="15"/>
    </row>
    <row r="555">
      <c r="E555" s="15"/>
      <c r="F555" s="17"/>
      <c r="G555" s="15"/>
      <c r="I555" s="15"/>
    </row>
    <row r="556">
      <c r="E556" s="15"/>
      <c r="F556" s="17"/>
      <c r="G556" s="15"/>
      <c r="I556" s="15"/>
    </row>
    <row r="557">
      <c r="E557" s="15"/>
      <c r="F557" s="17"/>
      <c r="G557" s="15"/>
      <c r="I557" s="15"/>
    </row>
    <row r="558">
      <c r="E558" s="15"/>
      <c r="F558" s="17"/>
      <c r="G558" s="15"/>
      <c r="I558" s="15"/>
    </row>
    <row r="559">
      <c r="E559" s="15"/>
      <c r="F559" s="17"/>
      <c r="G559" s="15"/>
      <c r="I559" s="15"/>
    </row>
    <row r="560">
      <c r="E560" s="15"/>
      <c r="F560" s="17"/>
      <c r="G560" s="15"/>
      <c r="I560" s="15"/>
    </row>
    <row r="561">
      <c r="E561" s="15"/>
      <c r="F561" s="17"/>
      <c r="G561" s="15"/>
      <c r="I561" s="15"/>
    </row>
    <row r="562">
      <c r="E562" s="15"/>
      <c r="F562" s="17"/>
      <c r="G562" s="15"/>
      <c r="I562" s="15"/>
    </row>
    <row r="563">
      <c r="E563" s="15"/>
      <c r="F563" s="17"/>
      <c r="G563" s="15"/>
      <c r="I563" s="15"/>
    </row>
    <row r="564">
      <c r="E564" s="15"/>
      <c r="F564" s="17"/>
      <c r="G564" s="15"/>
      <c r="I564" s="15"/>
    </row>
    <row r="565">
      <c r="E565" s="15"/>
      <c r="F565" s="17"/>
      <c r="G565" s="15"/>
      <c r="I565" s="15"/>
    </row>
    <row r="566">
      <c r="E566" s="15"/>
      <c r="F566" s="17"/>
      <c r="G566" s="15"/>
      <c r="I566" s="15"/>
    </row>
    <row r="567">
      <c r="E567" s="15"/>
      <c r="F567" s="17"/>
      <c r="G567" s="15"/>
      <c r="I567" s="15"/>
    </row>
    <row r="568">
      <c r="E568" s="15"/>
      <c r="F568" s="17"/>
      <c r="G568" s="15"/>
      <c r="I568" s="15"/>
    </row>
    <row r="569">
      <c r="E569" s="15"/>
      <c r="F569" s="17"/>
      <c r="G569" s="15"/>
      <c r="I569" s="15"/>
    </row>
    <row r="570">
      <c r="E570" s="15"/>
      <c r="F570" s="17"/>
      <c r="G570" s="15"/>
      <c r="I570" s="15"/>
    </row>
    <row r="571">
      <c r="E571" s="15"/>
      <c r="F571" s="17"/>
      <c r="G571" s="15"/>
      <c r="I571" s="15"/>
    </row>
    <row r="572">
      <c r="E572" s="15"/>
      <c r="F572" s="17"/>
      <c r="G572" s="15"/>
      <c r="I572" s="15"/>
    </row>
    <row r="573">
      <c r="E573" s="15"/>
      <c r="F573" s="17"/>
      <c r="G573" s="15"/>
      <c r="I573" s="15"/>
    </row>
    <row r="574">
      <c r="E574" s="15"/>
      <c r="F574" s="17"/>
      <c r="G574" s="15"/>
      <c r="I574" s="15"/>
    </row>
    <row r="575">
      <c r="E575" s="15"/>
      <c r="F575" s="17"/>
      <c r="G575" s="15"/>
      <c r="I575" s="15"/>
    </row>
    <row r="576">
      <c r="E576" s="15"/>
      <c r="F576" s="17"/>
      <c r="G576" s="15"/>
      <c r="I576" s="15"/>
    </row>
    <row r="577">
      <c r="E577" s="15"/>
      <c r="F577" s="17"/>
      <c r="G577" s="15"/>
      <c r="I577" s="15"/>
    </row>
    <row r="578">
      <c r="E578" s="15"/>
      <c r="F578" s="17"/>
      <c r="G578" s="15"/>
      <c r="I578" s="15"/>
    </row>
    <row r="579">
      <c r="E579" s="15"/>
      <c r="F579" s="17"/>
      <c r="G579" s="15"/>
      <c r="I579" s="15"/>
    </row>
    <row r="580">
      <c r="E580" s="15"/>
      <c r="F580" s="17"/>
      <c r="G580" s="15"/>
      <c r="I580" s="15"/>
    </row>
    <row r="581">
      <c r="E581" s="15"/>
      <c r="F581" s="17"/>
      <c r="G581" s="15"/>
      <c r="I581" s="15"/>
    </row>
    <row r="582">
      <c r="E582" s="15"/>
      <c r="F582" s="17"/>
      <c r="G582" s="15"/>
      <c r="I582" s="15"/>
    </row>
    <row r="583">
      <c r="E583" s="15"/>
      <c r="F583" s="17"/>
      <c r="G583" s="15"/>
      <c r="I583" s="15"/>
    </row>
    <row r="584">
      <c r="E584" s="15"/>
      <c r="F584" s="17"/>
      <c r="G584" s="15"/>
      <c r="I584" s="15"/>
    </row>
    <row r="585">
      <c r="E585" s="15"/>
      <c r="F585" s="17"/>
      <c r="G585" s="15"/>
      <c r="I585" s="15"/>
    </row>
    <row r="586">
      <c r="E586" s="15"/>
      <c r="F586" s="17"/>
      <c r="G586" s="15"/>
      <c r="I586" s="15"/>
    </row>
    <row r="587">
      <c r="E587" s="15"/>
      <c r="F587" s="17"/>
      <c r="G587" s="15"/>
      <c r="I587" s="15"/>
    </row>
    <row r="588">
      <c r="E588" s="15"/>
      <c r="F588" s="17"/>
      <c r="G588" s="15"/>
      <c r="I588" s="15"/>
    </row>
    <row r="589">
      <c r="E589" s="15"/>
      <c r="F589" s="17"/>
      <c r="G589" s="15"/>
      <c r="I589" s="15"/>
    </row>
    <row r="590">
      <c r="E590" s="15"/>
      <c r="F590" s="17"/>
      <c r="G590" s="15"/>
      <c r="I590" s="15"/>
    </row>
    <row r="591">
      <c r="E591" s="15"/>
      <c r="F591" s="17"/>
      <c r="G591" s="15"/>
      <c r="I591" s="15"/>
    </row>
    <row r="592">
      <c r="E592" s="15"/>
      <c r="F592" s="17"/>
      <c r="G592" s="15"/>
      <c r="I592" s="15"/>
    </row>
    <row r="593">
      <c r="E593" s="15"/>
      <c r="F593" s="17"/>
      <c r="G593" s="15"/>
      <c r="I593" s="15"/>
    </row>
    <row r="594">
      <c r="E594" s="15"/>
      <c r="F594" s="17"/>
      <c r="G594" s="15"/>
      <c r="I594" s="15"/>
    </row>
    <row r="595">
      <c r="E595" s="15"/>
      <c r="F595" s="17"/>
      <c r="G595" s="15"/>
      <c r="I595" s="15"/>
    </row>
    <row r="596">
      <c r="E596" s="15"/>
      <c r="F596" s="17"/>
      <c r="G596" s="15"/>
      <c r="I596" s="15"/>
    </row>
    <row r="597">
      <c r="E597" s="15"/>
      <c r="F597" s="17"/>
      <c r="G597" s="15"/>
      <c r="I597" s="15"/>
    </row>
    <row r="598">
      <c r="E598" s="15"/>
      <c r="F598" s="17"/>
      <c r="G598" s="15"/>
      <c r="I598" s="15"/>
    </row>
    <row r="599">
      <c r="E599" s="15"/>
      <c r="F599" s="17"/>
      <c r="G599" s="15"/>
      <c r="I599" s="15"/>
    </row>
    <row r="600">
      <c r="E600" s="15"/>
      <c r="F600" s="17"/>
      <c r="G600" s="15"/>
      <c r="I600" s="15"/>
    </row>
    <row r="601">
      <c r="E601" s="15"/>
      <c r="F601" s="17"/>
      <c r="G601" s="15"/>
      <c r="I601" s="15"/>
    </row>
    <row r="602">
      <c r="E602" s="15"/>
      <c r="F602" s="17"/>
      <c r="G602" s="15"/>
      <c r="I602" s="15"/>
    </row>
    <row r="603">
      <c r="E603" s="15"/>
      <c r="F603" s="17"/>
      <c r="G603" s="15"/>
      <c r="I603" s="15"/>
    </row>
    <row r="604">
      <c r="E604" s="15"/>
      <c r="F604" s="17"/>
      <c r="G604" s="15"/>
      <c r="I604" s="15"/>
    </row>
    <row r="605">
      <c r="E605" s="15"/>
      <c r="F605" s="17"/>
      <c r="G605" s="15"/>
      <c r="I605" s="15"/>
    </row>
    <row r="606">
      <c r="E606" s="15"/>
      <c r="F606" s="17"/>
      <c r="G606" s="15"/>
      <c r="I606" s="15"/>
    </row>
    <row r="607">
      <c r="E607" s="15"/>
      <c r="F607" s="17"/>
      <c r="G607" s="15"/>
      <c r="I607" s="15"/>
    </row>
    <row r="608">
      <c r="E608" s="15"/>
      <c r="F608" s="17"/>
      <c r="G608" s="15"/>
      <c r="I608" s="15"/>
    </row>
    <row r="609">
      <c r="E609" s="15"/>
      <c r="F609" s="17"/>
      <c r="G609" s="15"/>
      <c r="I609" s="15"/>
    </row>
    <row r="610">
      <c r="E610" s="15"/>
      <c r="F610" s="17"/>
      <c r="G610" s="15"/>
      <c r="I610" s="15"/>
    </row>
    <row r="611">
      <c r="E611" s="15"/>
      <c r="F611" s="17"/>
      <c r="G611" s="15"/>
      <c r="I611" s="15"/>
    </row>
    <row r="612">
      <c r="E612" s="15"/>
      <c r="F612" s="17"/>
      <c r="G612" s="15"/>
      <c r="I612" s="15"/>
    </row>
    <row r="613">
      <c r="E613" s="15"/>
      <c r="F613" s="17"/>
      <c r="G613" s="15"/>
      <c r="I613" s="15"/>
    </row>
    <row r="614">
      <c r="E614" s="15"/>
      <c r="F614" s="17"/>
      <c r="G614" s="15"/>
      <c r="I614" s="15"/>
    </row>
    <row r="615">
      <c r="E615" s="15"/>
      <c r="F615" s="17"/>
      <c r="G615" s="15"/>
      <c r="I615" s="15"/>
    </row>
    <row r="616">
      <c r="E616" s="15"/>
      <c r="F616" s="17"/>
      <c r="G616" s="15"/>
      <c r="I616" s="15"/>
    </row>
    <row r="617">
      <c r="E617" s="15"/>
      <c r="F617" s="17"/>
      <c r="G617" s="15"/>
      <c r="I617" s="15"/>
    </row>
    <row r="618">
      <c r="E618" s="15"/>
      <c r="F618" s="17"/>
      <c r="G618" s="15"/>
      <c r="I618" s="15"/>
    </row>
    <row r="619">
      <c r="E619" s="15"/>
      <c r="F619" s="17"/>
      <c r="G619" s="15"/>
      <c r="I619" s="15"/>
    </row>
    <row r="620">
      <c r="E620" s="15"/>
      <c r="F620" s="17"/>
      <c r="G620" s="15"/>
      <c r="I620" s="15"/>
    </row>
    <row r="621">
      <c r="E621" s="15"/>
      <c r="F621" s="17"/>
      <c r="G621" s="15"/>
      <c r="I621" s="15"/>
    </row>
    <row r="622">
      <c r="E622" s="15"/>
      <c r="F622" s="17"/>
      <c r="G622" s="15"/>
      <c r="I622" s="15"/>
    </row>
    <row r="623">
      <c r="E623" s="15"/>
      <c r="F623" s="17"/>
      <c r="G623" s="15"/>
      <c r="I623" s="15"/>
    </row>
    <row r="624">
      <c r="E624" s="15"/>
      <c r="F624" s="17"/>
      <c r="G624" s="15"/>
      <c r="I624" s="15"/>
    </row>
    <row r="625">
      <c r="E625" s="15"/>
      <c r="F625" s="17"/>
      <c r="G625" s="15"/>
      <c r="I625" s="15"/>
    </row>
    <row r="626">
      <c r="E626" s="15"/>
      <c r="F626" s="17"/>
      <c r="G626" s="15"/>
      <c r="I626" s="15"/>
    </row>
    <row r="627">
      <c r="E627" s="15"/>
      <c r="F627" s="17"/>
      <c r="G627" s="15"/>
      <c r="I627" s="15"/>
    </row>
    <row r="628">
      <c r="E628" s="15"/>
      <c r="F628" s="17"/>
      <c r="G628" s="15"/>
      <c r="I628" s="15"/>
    </row>
    <row r="629">
      <c r="E629" s="15"/>
      <c r="F629" s="17"/>
      <c r="G629" s="15"/>
      <c r="I629" s="15"/>
    </row>
    <row r="630">
      <c r="E630" s="15"/>
      <c r="F630" s="17"/>
      <c r="G630" s="15"/>
      <c r="I630" s="15"/>
    </row>
    <row r="631">
      <c r="E631" s="15"/>
      <c r="F631" s="17"/>
      <c r="G631" s="15"/>
      <c r="I631" s="15"/>
    </row>
    <row r="632">
      <c r="E632" s="15"/>
      <c r="F632" s="17"/>
      <c r="G632" s="15"/>
      <c r="I632" s="15"/>
    </row>
    <row r="633">
      <c r="E633" s="15"/>
      <c r="F633" s="17"/>
      <c r="G633" s="15"/>
      <c r="I633" s="15"/>
    </row>
    <row r="634">
      <c r="E634" s="15"/>
      <c r="F634" s="17"/>
      <c r="G634" s="15"/>
      <c r="I634" s="15"/>
    </row>
    <row r="635">
      <c r="E635" s="15"/>
      <c r="F635" s="17"/>
      <c r="G635" s="15"/>
      <c r="I635" s="15"/>
    </row>
    <row r="636">
      <c r="E636" s="15"/>
      <c r="F636" s="17"/>
      <c r="G636" s="15"/>
      <c r="I636" s="15"/>
    </row>
    <row r="637">
      <c r="E637" s="15"/>
      <c r="F637" s="17"/>
      <c r="G637" s="15"/>
      <c r="I637" s="15"/>
    </row>
    <row r="638">
      <c r="E638" s="15"/>
      <c r="F638" s="17"/>
      <c r="G638" s="15"/>
      <c r="I638" s="15"/>
    </row>
    <row r="639">
      <c r="E639" s="15"/>
      <c r="F639" s="17"/>
      <c r="G639" s="15"/>
      <c r="I639" s="15"/>
    </row>
    <row r="640">
      <c r="E640" s="15"/>
      <c r="F640" s="17"/>
      <c r="G640" s="15"/>
      <c r="I640" s="15"/>
    </row>
    <row r="641">
      <c r="E641" s="15"/>
      <c r="F641" s="17"/>
      <c r="G641" s="15"/>
      <c r="I641" s="15"/>
    </row>
    <row r="642">
      <c r="E642" s="15"/>
      <c r="F642" s="17"/>
      <c r="G642" s="15"/>
      <c r="I642" s="15"/>
    </row>
    <row r="643">
      <c r="E643" s="15"/>
      <c r="F643" s="17"/>
      <c r="G643" s="15"/>
      <c r="I643" s="15"/>
    </row>
    <row r="644">
      <c r="E644" s="15"/>
      <c r="F644" s="17"/>
      <c r="G644" s="15"/>
      <c r="I644" s="15"/>
    </row>
    <row r="645">
      <c r="E645" s="15"/>
      <c r="F645" s="17"/>
      <c r="G645" s="15"/>
      <c r="I645" s="15"/>
    </row>
    <row r="646">
      <c r="E646" s="15"/>
      <c r="F646" s="17"/>
      <c r="G646" s="15"/>
      <c r="I646" s="15"/>
    </row>
    <row r="647">
      <c r="E647" s="15"/>
      <c r="F647" s="17"/>
      <c r="G647" s="15"/>
      <c r="I647" s="15"/>
    </row>
    <row r="648">
      <c r="E648" s="15"/>
      <c r="F648" s="17"/>
      <c r="G648" s="15"/>
      <c r="I648" s="15"/>
    </row>
    <row r="649">
      <c r="E649" s="15"/>
      <c r="F649" s="17"/>
      <c r="G649" s="15"/>
      <c r="I649" s="15"/>
    </row>
    <row r="650">
      <c r="E650" s="15"/>
      <c r="F650" s="17"/>
      <c r="G650" s="15"/>
      <c r="I650" s="15"/>
    </row>
    <row r="651">
      <c r="E651" s="15"/>
      <c r="F651" s="17"/>
      <c r="G651" s="15"/>
      <c r="I651" s="15"/>
    </row>
    <row r="652">
      <c r="E652" s="15"/>
      <c r="F652" s="17"/>
      <c r="G652" s="15"/>
      <c r="I652" s="15"/>
    </row>
    <row r="653">
      <c r="E653" s="15"/>
      <c r="F653" s="17"/>
      <c r="G653" s="15"/>
      <c r="I653" s="15"/>
    </row>
    <row r="654">
      <c r="E654" s="15"/>
      <c r="F654" s="17"/>
      <c r="G654" s="15"/>
      <c r="I654" s="15"/>
    </row>
    <row r="655">
      <c r="E655" s="15"/>
      <c r="F655" s="17"/>
      <c r="G655" s="15"/>
      <c r="I655" s="15"/>
    </row>
    <row r="656">
      <c r="E656" s="15"/>
      <c r="F656" s="17"/>
      <c r="G656" s="15"/>
      <c r="I656" s="15"/>
    </row>
    <row r="657">
      <c r="E657" s="15"/>
      <c r="F657" s="17"/>
      <c r="G657" s="15"/>
      <c r="I657" s="15"/>
    </row>
    <row r="658">
      <c r="E658" s="15"/>
      <c r="F658" s="17"/>
      <c r="G658" s="15"/>
      <c r="I658" s="15"/>
    </row>
    <row r="659">
      <c r="E659" s="15"/>
      <c r="F659" s="17"/>
      <c r="G659" s="15"/>
      <c r="I659" s="15"/>
    </row>
    <row r="660">
      <c r="E660" s="15"/>
      <c r="F660" s="17"/>
      <c r="G660" s="15"/>
      <c r="I660" s="15"/>
    </row>
    <row r="661">
      <c r="E661" s="15"/>
      <c r="F661" s="17"/>
      <c r="G661" s="15"/>
      <c r="I661" s="15"/>
    </row>
    <row r="662">
      <c r="E662" s="15"/>
      <c r="F662" s="17"/>
      <c r="G662" s="15"/>
      <c r="I662" s="15"/>
    </row>
    <row r="663">
      <c r="E663" s="15"/>
      <c r="F663" s="17"/>
      <c r="G663" s="15"/>
      <c r="I663" s="15"/>
    </row>
    <row r="664">
      <c r="E664" s="15"/>
      <c r="F664" s="17"/>
      <c r="G664" s="15"/>
      <c r="I664" s="15"/>
    </row>
    <row r="665">
      <c r="E665" s="15"/>
      <c r="F665" s="17"/>
      <c r="G665" s="15"/>
      <c r="I665" s="15"/>
    </row>
    <row r="666">
      <c r="E666" s="15"/>
      <c r="F666" s="17"/>
      <c r="G666" s="15"/>
      <c r="I666" s="15"/>
    </row>
    <row r="667">
      <c r="E667" s="15"/>
      <c r="F667" s="17"/>
      <c r="G667" s="15"/>
      <c r="I667" s="15"/>
    </row>
    <row r="668">
      <c r="E668" s="15"/>
      <c r="F668" s="17"/>
      <c r="G668" s="15"/>
      <c r="I668" s="15"/>
    </row>
    <row r="669">
      <c r="E669" s="15"/>
      <c r="F669" s="17"/>
      <c r="G669" s="15"/>
      <c r="I669" s="15"/>
    </row>
    <row r="670">
      <c r="E670" s="15"/>
      <c r="F670" s="17"/>
      <c r="G670" s="15"/>
      <c r="I670" s="15"/>
    </row>
    <row r="671">
      <c r="E671" s="15"/>
      <c r="F671" s="17"/>
      <c r="G671" s="15"/>
      <c r="I671" s="15"/>
    </row>
    <row r="672">
      <c r="E672" s="15"/>
      <c r="F672" s="17"/>
      <c r="G672" s="15"/>
      <c r="I672" s="15"/>
    </row>
    <row r="673">
      <c r="E673" s="15"/>
      <c r="F673" s="17"/>
      <c r="G673" s="15"/>
      <c r="I673" s="15"/>
    </row>
    <row r="674">
      <c r="E674" s="15"/>
      <c r="F674" s="17"/>
      <c r="G674" s="15"/>
      <c r="I674" s="15"/>
    </row>
    <row r="675">
      <c r="E675" s="15"/>
      <c r="F675" s="17"/>
      <c r="G675" s="15"/>
      <c r="I675" s="15"/>
    </row>
    <row r="676">
      <c r="E676" s="15"/>
      <c r="F676" s="17"/>
      <c r="G676" s="15"/>
      <c r="I676" s="15"/>
    </row>
    <row r="677">
      <c r="E677" s="15"/>
      <c r="F677" s="17"/>
      <c r="G677" s="15"/>
      <c r="I677" s="15"/>
    </row>
    <row r="678">
      <c r="E678" s="15"/>
      <c r="F678" s="17"/>
      <c r="G678" s="15"/>
      <c r="I678" s="15"/>
    </row>
    <row r="679">
      <c r="E679" s="15"/>
      <c r="F679" s="17"/>
      <c r="G679" s="15"/>
      <c r="I679" s="15"/>
    </row>
    <row r="680">
      <c r="E680" s="15"/>
      <c r="F680" s="17"/>
      <c r="G680" s="15"/>
      <c r="I680" s="15"/>
    </row>
    <row r="681">
      <c r="E681" s="15"/>
      <c r="F681" s="17"/>
      <c r="G681" s="15"/>
      <c r="I681" s="15"/>
    </row>
    <row r="682">
      <c r="E682" s="15"/>
      <c r="F682" s="17"/>
      <c r="G682" s="15"/>
      <c r="I682" s="15"/>
    </row>
    <row r="683">
      <c r="E683" s="15"/>
      <c r="F683" s="17"/>
      <c r="G683" s="15"/>
      <c r="I683" s="15"/>
    </row>
    <row r="684">
      <c r="E684" s="15"/>
      <c r="F684" s="17"/>
      <c r="G684" s="15"/>
      <c r="I684" s="15"/>
    </row>
    <row r="685">
      <c r="E685" s="15"/>
      <c r="F685" s="17"/>
      <c r="G685" s="15"/>
      <c r="I685" s="15"/>
    </row>
    <row r="686">
      <c r="E686" s="15"/>
      <c r="F686" s="17"/>
      <c r="G686" s="15"/>
      <c r="I686" s="15"/>
    </row>
    <row r="687">
      <c r="E687" s="15"/>
      <c r="F687" s="17"/>
      <c r="G687" s="15"/>
      <c r="I687" s="15"/>
    </row>
    <row r="688">
      <c r="E688" s="15"/>
      <c r="F688" s="17"/>
      <c r="G688" s="15"/>
      <c r="I688" s="15"/>
    </row>
    <row r="689">
      <c r="E689" s="15"/>
      <c r="F689" s="17"/>
      <c r="G689" s="15"/>
      <c r="I689" s="15"/>
    </row>
    <row r="690">
      <c r="E690" s="15"/>
      <c r="F690" s="17"/>
      <c r="G690" s="15"/>
      <c r="I690" s="15"/>
    </row>
    <row r="691">
      <c r="E691" s="15"/>
      <c r="F691" s="17"/>
      <c r="G691" s="15"/>
      <c r="I691" s="15"/>
    </row>
    <row r="692">
      <c r="E692" s="15"/>
      <c r="F692" s="17"/>
      <c r="G692" s="15"/>
      <c r="I692" s="15"/>
    </row>
    <row r="693">
      <c r="E693" s="15"/>
      <c r="F693" s="17"/>
      <c r="G693" s="15"/>
      <c r="I693" s="15"/>
    </row>
    <row r="694">
      <c r="E694" s="15"/>
      <c r="F694" s="17"/>
      <c r="G694" s="15"/>
      <c r="I694" s="15"/>
    </row>
    <row r="695">
      <c r="E695" s="15"/>
      <c r="F695" s="17"/>
      <c r="G695" s="15"/>
      <c r="I695" s="15"/>
    </row>
    <row r="696">
      <c r="E696" s="15"/>
      <c r="F696" s="17"/>
      <c r="G696" s="15"/>
      <c r="I696" s="15"/>
    </row>
    <row r="697">
      <c r="E697" s="15"/>
      <c r="F697" s="17"/>
      <c r="G697" s="15"/>
      <c r="I697" s="15"/>
    </row>
    <row r="698">
      <c r="E698" s="15"/>
      <c r="F698" s="17"/>
      <c r="G698" s="15"/>
      <c r="I698" s="15"/>
    </row>
    <row r="699">
      <c r="E699" s="15"/>
      <c r="F699" s="17"/>
      <c r="G699" s="15"/>
      <c r="I699" s="15"/>
    </row>
    <row r="700">
      <c r="E700" s="15"/>
      <c r="F700" s="17"/>
      <c r="G700" s="15"/>
      <c r="I700" s="15"/>
    </row>
    <row r="701">
      <c r="E701" s="15"/>
      <c r="F701" s="17"/>
      <c r="G701" s="15"/>
      <c r="I701" s="15"/>
    </row>
    <row r="702">
      <c r="E702" s="15"/>
      <c r="F702" s="17"/>
      <c r="G702" s="15"/>
      <c r="I702" s="15"/>
    </row>
    <row r="703">
      <c r="E703" s="15"/>
      <c r="F703" s="17"/>
      <c r="G703" s="15"/>
      <c r="I703" s="15"/>
    </row>
    <row r="704">
      <c r="E704" s="15"/>
      <c r="F704" s="17"/>
      <c r="G704" s="15"/>
      <c r="I704" s="15"/>
    </row>
    <row r="705">
      <c r="E705" s="15"/>
      <c r="F705" s="17"/>
      <c r="G705" s="15"/>
      <c r="I705" s="15"/>
    </row>
    <row r="706">
      <c r="E706" s="15"/>
      <c r="F706" s="17"/>
      <c r="G706" s="15"/>
      <c r="I706" s="15"/>
    </row>
    <row r="707">
      <c r="E707" s="15"/>
      <c r="F707" s="17"/>
      <c r="G707" s="15"/>
      <c r="I707" s="15"/>
    </row>
    <row r="708">
      <c r="E708" s="15"/>
      <c r="F708" s="17"/>
      <c r="G708" s="15"/>
      <c r="I708" s="15"/>
    </row>
    <row r="709">
      <c r="E709" s="15"/>
      <c r="F709" s="17"/>
      <c r="G709" s="15"/>
      <c r="I709" s="15"/>
    </row>
    <row r="710">
      <c r="E710" s="15"/>
      <c r="F710" s="17"/>
      <c r="G710" s="15"/>
      <c r="I710" s="15"/>
    </row>
    <row r="711">
      <c r="E711" s="15"/>
      <c r="F711" s="17"/>
      <c r="G711" s="15"/>
      <c r="I711" s="15"/>
    </row>
    <row r="712">
      <c r="E712" s="15"/>
      <c r="F712" s="17"/>
      <c r="G712" s="15"/>
      <c r="I712" s="15"/>
    </row>
    <row r="713">
      <c r="E713" s="15"/>
      <c r="F713" s="17"/>
      <c r="G713" s="15"/>
      <c r="I713" s="15"/>
    </row>
    <row r="714">
      <c r="E714" s="15"/>
      <c r="F714" s="17"/>
      <c r="G714" s="15"/>
      <c r="I714" s="15"/>
    </row>
    <row r="715">
      <c r="E715" s="15"/>
      <c r="F715" s="17"/>
      <c r="G715" s="15"/>
      <c r="I715" s="15"/>
    </row>
    <row r="716">
      <c r="E716" s="15"/>
      <c r="F716" s="17"/>
      <c r="G716" s="15"/>
      <c r="I716" s="15"/>
    </row>
    <row r="717">
      <c r="E717" s="15"/>
      <c r="F717" s="17"/>
      <c r="G717" s="15"/>
      <c r="I717" s="15"/>
    </row>
    <row r="718">
      <c r="E718" s="15"/>
      <c r="F718" s="17"/>
      <c r="G718" s="15"/>
      <c r="I718" s="15"/>
    </row>
    <row r="719">
      <c r="E719" s="15"/>
      <c r="F719" s="17"/>
      <c r="G719" s="15"/>
      <c r="I719" s="15"/>
    </row>
    <row r="720">
      <c r="E720" s="15"/>
      <c r="F720" s="17"/>
      <c r="G720" s="15"/>
      <c r="I720" s="15"/>
    </row>
    <row r="721">
      <c r="E721" s="15"/>
      <c r="F721" s="17"/>
      <c r="G721" s="15"/>
      <c r="I721" s="15"/>
    </row>
    <row r="722">
      <c r="E722" s="15"/>
      <c r="F722" s="17"/>
      <c r="G722" s="15"/>
      <c r="I722" s="15"/>
    </row>
    <row r="723">
      <c r="E723" s="15"/>
      <c r="F723" s="17"/>
      <c r="G723" s="15"/>
      <c r="I723" s="15"/>
    </row>
    <row r="724">
      <c r="E724" s="15"/>
      <c r="F724" s="17"/>
      <c r="G724" s="15"/>
      <c r="I724" s="15"/>
    </row>
    <row r="725">
      <c r="E725" s="15"/>
      <c r="F725" s="17"/>
      <c r="G725" s="15"/>
      <c r="I725" s="15"/>
    </row>
    <row r="726">
      <c r="E726" s="15"/>
      <c r="F726" s="17"/>
      <c r="G726" s="15"/>
      <c r="I726" s="15"/>
    </row>
    <row r="727">
      <c r="E727" s="15"/>
      <c r="F727" s="17"/>
      <c r="G727" s="15"/>
      <c r="I727" s="15"/>
    </row>
    <row r="728">
      <c r="E728" s="15"/>
      <c r="F728" s="17"/>
      <c r="G728" s="15"/>
      <c r="I728" s="15"/>
    </row>
    <row r="729">
      <c r="E729" s="15"/>
      <c r="F729" s="17"/>
      <c r="G729" s="15"/>
      <c r="I729" s="15"/>
    </row>
    <row r="730">
      <c r="E730" s="15"/>
      <c r="F730" s="17"/>
      <c r="G730" s="15"/>
      <c r="I730" s="15"/>
    </row>
    <row r="731">
      <c r="E731" s="15"/>
      <c r="F731" s="17"/>
      <c r="G731" s="15"/>
      <c r="I731" s="15"/>
    </row>
    <row r="732">
      <c r="E732" s="15"/>
      <c r="F732" s="17"/>
      <c r="G732" s="15"/>
      <c r="I732" s="15"/>
    </row>
    <row r="733">
      <c r="E733" s="15"/>
      <c r="F733" s="17"/>
      <c r="G733" s="15"/>
      <c r="I733" s="15"/>
    </row>
    <row r="734">
      <c r="E734" s="15"/>
      <c r="F734" s="17"/>
      <c r="G734" s="15"/>
      <c r="I734" s="15"/>
    </row>
    <row r="735">
      <c r="E735" s="15"/>
      <c r="F735" s="17"/>
      <c r="G735" s="15"/>
      <c r="I735" s="15"/>
    </row>
    <row r="736">
      <c r="E736" s="15"/>
      <c r="F736" s="17"/>
      <c r="G736" s="15"/>
      <c r="I736" s="15"/>
    </row>
    <row r="737">
      <c r="E737" s="15"/>
      <c r="F737" s="17"/>
      <c r="G737" s="15"/>
      <c r="I737" s="15"/>
    </row>
    <row r="738">
      <c r="E738" s="15"/>
      <c r="F738" s="17"/>
      <c r="G738" s="15"/>
      <c r="I738" s="15"/>
    </row>
    <row r="739">
      <c r="E739" s="15"/>
      <c r="F739" s="17"/>
      <c r="G739" s="15"/>
      <c r="I739" s="15"/>
    </row>
    <row r="740">
      <c r="E740" s="15"/>
      <c r="F740" s="17"/>
      <c r="G740" s="15"/>
      <c r="I740" s="15"/>
    </row>
    <row r="741">
      <c r="E741" s="15"/>
      <c r="F741" s="17"/>
      <c r="G741" s="15"/>
      <c r="I741" s="15"/>
    </row>
    <row r="742">
      <c r="E742" s="15"/>
      <c r="F742" s="17"/>
      <c r="G742" s="15"/>
      <c r="I742" s="15"/>
    </row>
    <row r="743">
      <c r="E743" s="15"/>
      <c r="F743" s="17"/>
      <c r="G743" s="15"/>
      <c r="I743" s="15"/>
    </row>
    <row r="744">
      <c r="E744" s="15"/>
      <c r="F744" s="17"/>
      <c r="G744" s="15"/>
      <c r="I744" s="15"/>
    </row>
    <row r="745">
      <c r="E745" s="15"/>
      <c r="F745" s="17"/>
      <c r="G745" s="15"/>
      <c r="I745" s="15"/>
    </row>
    <row r="746">
      <c r="E746" s="15"/>
      <c r="F746" s="17"/>
      <c r="G746" s="15"/>
      <c r="I746" s="15"/>
    </row>
    <row r="747">
      <c r="E747" s="15"/>
      <c r="F747" s="17"/>
      <c r="G747" s="15"/>
      <c r="I747" s="15"/>
    </row>
    <row r="748">
      <c r="E748" s="15"/>
      <c r="F748" s="17"/>
      <c r="G748" s="15"/>
      <c r="I748" s="15"/>
    </row>
    <row r="749">
      <c r="E749" s="15"/>
      <c r="F749" s="17"/>
      <c r="G749" s="15"/>
      <c r="I749" s="15"/>
    </row>
    <row r="750">
      <c r="E750" s="15"/>
      <c r="F750" s="17"/>
      <c r="G750" s="15"/>
      <c r="I750" s="15"/>
    </row>
    <row r="751">
      <c r="E751" s="15"/>
      <c r="F751" s="17"/>
      <c r="G751" s="15"/>
      <c r="I751" s="15"/>
    </row>
    <row r="752">
      <c r="E752" s="15"/>
      <c r="F752" s="17"/>
      <c r="G752" s="15"/>
      <c r="I752" s="15"/>
    </row>
    <row r="753">
      <c r="E753" s="15"/>
      <c r="F753" s="17"/>
      <c r="G753" s="15"/>
      <c r="I753" s="15"/>
    </row>
    <row r="754">
      <c r="E754" s="15"/>
      <c r="F754" s="17"/>
      <c r="G754" s="15"/>
      <c r="I754" s="15"/>
    </row>
    <row r="755">
      <c r="E755" s="15"/>
      <c r="F755" s="17"/>
      <c r="G755" s="15"/>
      <c r="I755" s="15"/>
    </row>
    <row r="756">
      <c r="E756" s="15"/>
      <c r="F756" s="17"/>
      <c r="G756" s="15"/>
      <c r="I756" s="15"/>
    </row>
    <row r="757">
      <c r="E757" s="15"/>
      <c r="F757" s="17"/>
      <c r="G757" s="15"/>
      <c r="I757" s="15"/>
    </row>
    <row r="758">
      <c r="E758" s="15"/>
      <c r="F758" s="17"/>
      <c r="G758" s="15"/>
      <c r="I758" s="15"/>
    </row>
    <row r="759">
      <c r="E759" s="15"/>
      <c r="F759" s="17"/>
      <c r="G759" s="15"/>
      <c r="I759" s="15"/>
    </row>
    <row r="760">
      <c r="E760" s="15"/>
      <c r="F760" s="17"/>
      <c r="G760" s="15"/>
      <c r="I760" s="15"/>
    </row>
    <row r="761">
      <c r="E761" s="15"/>
      <c r="F761" s="17"/>
      <c r="G761" s="15"/>
      <c r="I761" s="15"/>
    </row>
    <row r="762">
      <c r="E762" s="15"/>
      <c r="F762" s="17"/>
      <c r="G762" s="15"/>
      <c r="I762" s="15"/>
    </row>
    <row r="763">
      <c r="E763" s="15"/>
      <c r="F763" s="17"/>
      <c r="G763" s="15"/>
      <c r="I763" s="15"/>
    </row>
    <row r="764">
      <c r="E764" s="15"/>
      <c r="F764" s="17"/>
      <c r="G764" s="15"/>
      <c r="I764" s="15"/>
    </row>
    <row r="765">
      <c r="E765" s="15"/>
      <c r="F765" s="17"/>
      <c r="G765" s="15"/>
      <c r="I765" s="15"/>
    </row>
    <row r="766">
      <c r="E766" s="15"/>
      <c r="F766" s="17"/>
      <c r="G766" s="15"/>
      <c r="I766" s="15"/>
    </row>
    <row r="767">
      <c r="E767" s="15"/>
      <c r="F767" s="17"/>
      <c r="G767" s="15"/>
      <c r="I767" s="15"/>
    </row>
    <row r="768">
      <c r="E768" s="15"/>
      <c r="F768" s="17"/>
      <c r="G768" s="15"/>
      <c r="I768" s="15"/>
    </row>
    <row r="769">
      <c r="E769" s="15"/>
      <c r="F769" s="17"/>
      <c r="G769" s="15"/>
      <c r="I769" s="15"/>
    </row>
    <row r="770">
      <c r="E770" s="15"/>
      <c r="F770" s="17"/>
      <c r="G770" s="15"/>
      <c r="I770" s="15"/>
    </row>
    <row r="771">
      <c r="E771" s="15"/>
      <c r="F771" s="17"/>
      <c r="G771" s="15"/>
      <c r="I771" s="15"/>
    </row>
    <row r="772">
      <c r="E772" s="15"/>
      <c r="F772" s="17"/>
      <c r="G772" s="15"/>
      <c r="I772" s="15"/>
    </row>
    <row r="773">
      <c r="E773" s="15"/>
      <c r="F773" s="17"/>
      <c r="G773" s="15"/>
      <c r="I773" s="15"/>
    </row>
    <row r="774">
      <c r="E774" s="15"/>
      <c r="F774" s="17"/>
      <c r="G774" s="15"/>
      <c r="I774" s="15"/>
    </row>
    <row r="775">
      <c r="E775" s="15"/>
      <c r="F775" s="17"/>
      <c r="G775" s="15"/>
      <c r="I775" s="15"/>
    </row>
    <row r="776">
      <c r="E776" s="15"/>
      <c r="F776" s="17"/>
      <c r="G776" s="15"/>
      <c r="I776" s="15"/>
    </row>
    <row r="777">
      <c r="E777" s="15"/>
      <c r="F777" s="17"/>
      <c r="G777" s="15"/>
      <c r="I777" s="15"/>
    </row>
    <row r="778">
      <c r="E778" s="15"/>
      <c r="F778" s="17"/>
      <c r="G778" s="15"/>
      <c r="I778" s="15"/>
    </row>
    <row r="779">
      <c r="E779" s="15"/>
      <c r="F779" s="17"/>
      <c r="G779" s="15"/>
      <c r="I779" s="15"/>
    </row>
    <row r="780">
      <c r="E780" s="15"/>
      <c r="F780" s="17"/>
      <c r="G780" s="15"/>
      <c r="I780" s="15"/>
    </row>
    <row r="781">
      <c r="E781" s="15"/>
      <c r="F781" s="17"/>
      <c r="G781" s="15"/>
      <c r="I781" s="15"/>
    </row>
    <row r="782">
      <c r="E782" s="15"/>
      <c r="F782" s="17"/>
      <c r="G782" s="15"/>
      <c r="I782" s="15"/>
    </row>
    <row r="783">
      <c r="E783" s="15"/>
      <c r="F783" s="17"/>
      <c r="G783" s="15"/>
      <c r="I783" s="15"/>
    </row>
    <row r="784">
      <c r="E784" s="15"/>
      <c r="F784" s="17"/>
      <c r="G784" s="15"/>
      <c r="I784" s="15"/>
    </row>
    <row r="785">
      <c r="E785" s="15"/>
      <c r="F785" s="17"/>
      <c r="G785" s="15"/>
      <c r="I785" s="15"/>
    </row>
    <row r="786">
      <c r="E786" s="15"/>
      <c r="F786" s="17"/>
      <c r="G786" s="15"/>
      <c r="I786" s="15"/>
    </row>
    <row r="787">
      <c r="E787" s="15"/>
      <c r="F787" s="17"/>
      <c r="G787" s="15"/>
      <c r="I787" s="15"/>
    </row>
    <row r="788">
      <c r="E788" s="15"/>
      <c r="F788" s="17"/>
      <c r="G788" s="15"/>
      <c r="I788" s="15"/>
    </row>
    <row r="789">
      <c r="E789" s="15"/>
      <c r="F789" s="17"/>
      <c r="G789" s="15"/>
      <c r="I789" s="15"/>
    </row>
    <row r="790">
      <c r="E790" s="15"/>
      <c r="F790" s="17"/>
      <c r="G790" s="15"/>
      <c r="I790" s="15"/>
    </row>
    <row r="791">
      <c r="E791" s="15"/>
      <c r="F791" s="17"/>
      <c r="G791" s="15"/>
      <c r="I791" s="15"/>
    </row>
    <row r="792">
      <c r="E792" s="15"/>
      <c r="F792" s="17"/>
      <c r="G792" s="15"/>
      <c r="I792" s="15"/>
    </row>
    <row r="793">
      <c r="E793" s="15"/>
      <c r="F793" s="17"/>
      <c r="G793" s="15"/>
      <c r="I793" s="15"/>
    </row>
    <row r="794">
      <c r="E794" s="15"/>
      <c r="F794" s="17"/>
      <c r="G794" s="15"/>
      <c r="I794" s="15"/>
    </row>
    <row r="795">
      <c r="E795" s="15"/>
      <c r="F795" s="17"/>
      <c r="G795" s="15"/>
      <c r="I795" s="15"/>
    </row>
    <row r="796">
      <c r="E796" s="15"/>
      <c r="F796" s="17"/>
      <c r="G796" s="15"/>
      <c r="I796" s="15"/>
    </row>
    <row r="797">
      <c r="E797" s="15"/>
      <c r="F797" s="17"/>
      <c r="G797" s="15"/>
      <c r="I797" s="15"/>
    </row>
    <row r="798">
      <c r="E798" s="15"/>
      <c r="F798" s="17"/>
      <c r="G798" s="15"/>
      <c r="I798" s="15"/>
    </row>
    <row r="799">
      <c r="E799" s="15"/>
      <c r="F799" s="17"/>
      <c r="G799" s="15"/>
      <c r="I799" s="15"/>
    </row>
    <row r="800">
      <c r="E800" s="15"/>
      <c r="F800" s="17"/>
      <c r="G800" s="15"/>
      <c r="I800" s="15"/>
    </row>
    <row r="801">
      <c r="E801" s="15"/>
      <c r="F801" s="17"/>
      <c r="G801" s="15"/>
      <c r="I801" s="15"/>
    </row>
    <row r="802">
      <c r="E802" s="15"/>
      <c r="F802" s="17"/>
      <c r="G802" s="15"/>
      <c r="I802" s="15"/>
    </row>
    <row r="803">
      <c r="E803" s="15"/>
      <c r="F803" s="17"/>
      <c r="G803" s="15"/>
      <c r="I803" s="15"/>
    </row>
    <row r="804">
      <c r="E804" s="15"/>
      <c r="F804" s="17"/>
      <c r="G804" s="15"/>
      <c r="I804" s="15"/>
    </row>
    <row r="805">
      <c r="E805" s="15"/>
      <c r="F805" s="17"/>
      <c r="G805" s="15"/>
      <c r="I805" s="15"/>
    </row>
    <row r="806">
      <c r="E806" s="15"/>
      <c r="F806" s="17"/>
      <c r="G806" s="15"/>
      <c r="I806" s="15"/>
    </row>
    <row r="807">
      <c r="E807" s="15"/>
      <c r="F807" s="17"/>
      <c r="G807" s="15"/>
      <c r="I807" s="15"/>
    </row>
    <row r="808">
      <c r="E808" s="15"/>
      <c r="F808" s="17"/>
      <c r="G808" s="15"/>
      <c r="I808" s="15"/>
    </row>
    <row r="809">
      <c r="E809" s="15"/>
      <c r="F809" s="17"/>
      <c r="G809" s="15"/>
      <c r="I809" s="15"/>
    </row>
    <row r="810">
      <c r="E810" s="15"/>
      <c r="F810" s="17"/>
      <c r="G810" s="15"/>
      <c r="I810" s="15"/>
    </row>
    <row r="811">
      <c r="E811" s="15"/>
      <c r="F811" s="17"/>
      <c r="G811" s="15"/>
      <c r="I811" s="15"/>
    </row>
    <row r="812">
      <c r="E812" s="15"/>
      <c r="F812" s="17"/>
      <c r="G812" s="15"/>
      <c r="I812" s="15"/>
    </row>
    <row r="813">
      <c r="E813" s="15"/>
      <c r="F813" s="17"/>
      <c r="G813" s="15"/>
      <c r="I813" s="15"/>
    </row>
    <row r="814">
      <c r="E814" s="15"/>
      <c r="F814" s="17"/>
      <c r="G814" s="15"/>
      <c r="I814" s="15"/>
    </row>
    <row r="815">
      <c r="E815" s="15"/>
      <c r="F815" s="17"/>
      <c r="G815" s="15"/>
      <c r="I815" s="15"/>
    </row>
    <row r="816">
      <c r="E816" s="15"/>
      <c r="F816" s="17"/>
      <c r="G816" s="15"/>
      <c r="I816" s="15"/>
    </row>
    <row r="817">
      <c r="E817" s="15"/>
      <c r="F817" s="17"/>
      <c r="G817" s="15"/>
      <c r="I817" s="15"/>
    </row>
    <row r="818">
      <c r="E818" s="15"/>
      <c r="F818" s="17"/>
      <c r="G818" s="15"/>
      <c r="I818" s="15"/>
    </row>
    <row r="819">
      <c r="E819" s="15"/>
      <c r="F819" s="17"/>
      <c r="G819" s="15"/>
      <c r="I819" s="15"/>
    </row>
    <row r="820">
      <c r="E820" s="15"/>
      <c r="F820" s="17"/>
      <c r="G820" s="15"/>
      <c r="I820" s="15"/>
    </row>
    <row r="821">
      <c r="E821" s="15"/>
      <c r="F821" s="17"/>
      <c r="G821" s="15"/>
      <c r="I821" s="15"/>
    </row>
    <row r="822">
      <c r="E822" s="15"/>
      <c r="F822" s="17"/>
      <c r="G822" s="15"/>
      <c r="I822" s="15"/>
    </row>
    <row r="823">
      <c r="E823" s="15"/>
      <c r="F823" s="17"/>
      <c r="G823" s="15"/>
      <c r="I823" s="15"/>
    </row>
    <row r="824">
      <c r="E824" s="15"/>
      <c r="F824" s="17"/>
      <c r="G824" s="15"/>
      <c r="I824" s="15"/>
    </row>
    <row r="825">
      <c r="E825" s="15"/>
      <c r="F825" s="17"/>
      <c r="G825" s="15"/>
      <c r="I825" s="15"/>
    </row>
    <row r="826">
      <c r="E826" s="15"/>
      <c r="F826" s="17"/>
      <c r="G826" s="15"/>
      <c r="I826" s="15"/>
    </row>
    <row r="827">
      <c r="E827" s="15"/>
      <c r="F827" s="17"/>
      <c r="G827" s="15"/>
      <c r="I827" s="15"/>
    </row>
    <row r="828">
      <c r="E828" s="15"/>
      <c r="F828" s="17"/>
      <c r="G828" s="15"/>
      <c r="I828" s="15"/>
    </row>
    <row r="829">
      <c r="E829" s="15"/>
      <c r="F829" s="17"/>
      <c r="G829" s="15"/>
      <c r="I829" s="15"/>
    </row>
    <row r="830">
      <c r="E830" s="15"/>
      <c r="F830" s="17"/>
      <c r="G830" s="15"/>
      <c r="I830" s="15"/>
    </row>
    <row r="831">
      <c r="E831" s="15"/>
      <c r="F831" s="17"/>
      <c r="G831" s="15"/>
      <c r="I831" s="15"/>
    </row>
    <row r="832">
      <c r="E832" s="15"/>
      <c r="F832" s="17"/>
      <c r="G832" s="15"/>
      <c r="I832" s="15"/>
    </row>
    <row r="833">
      <c r="E833" s="15"/>
      <c r="F833" s="17"/>
      <c r="G833" s="15"/>
      <c r="I833" s="15"/>
    </row>
    <row r="834">
      <c r="E834" s="15"/>
      <c r="F834" s="17"/>
      <c r="G834" s="15"/>
      <c r="I834" s="15"/>
    </row>
    <row r="835">
      <c r="E835" s="15"/>
      <c r="F835" s="17"/>
      <c r="G835" s="15"/>
      <c r="I835" s="15"/>
    </row>
    <row r="836">
      <c r="E836" s="15"/>
      <c r="F836" s="17"/>
      <c r="G836" s="15"/>
      <c r="I836" s="15"/>
    </row>
    <row r="837">
      <c r="E837" s="15"/>
      <c r="F837" s="17"/>
      <c r="G837" s="15"/>
      <c r="I837" s="15"/>
    </row>
    <row r="838">
      <c r="E838" s="15"/>
      <c r="F838" s="17"/>
      <c r="G838" s="15"/>
      <c r="I838" s="15"/>
    </row>
    <row r="839">
      <c r="E839" s="15"/>
      <c r="F839" s="17"/>
      <c r="G839" s="15"/>
      <c r="I839" s="15"/>
    </row>
    <row r="840">
      <c r="E840" s="15"/>
      <c r="F840" s="17"/>
      <c r="G840" s="15"/>
      <c r="I840" s="15"/>
    </row>
    <row r="841">
      <c r="E841" s="15"/>
      <c r="F841" s="17"/>
      <c r="G841" s="15"/>
      <c r="I841" s="15"/>
    </row>
    <row r="842">
      <c r="E842" s="15"/>
      <c r="F842" s="17"/>
      <c r="G842" s="15"/>
      <c r="I842" s="15"/>
    </row>
    <row r="843">
      <c r="E843" s="15"/>
      <c r="F843" s="17"/>
      <c r="G843" s="15"/>
      <c r="I843" s="15"/>
    </row>
    <row r="844">
      <c r="E844" s="15"/>
      <c r="F844" s="17"/>
      <c r="G844" s="15"/>
      <c r="I844" s="15"/>
    </row>
    <row r="845">
      <c r="E845" s="15"/>
      <c r="F845" s="17"/>
      <c r="G845" s="15"/>
      <c r="I845" s="15"/>
    </row>
    <row r="846">
      <c r="E846" s="15"/>
      <c r="F846" s="17"/>
      <c r="G846" s="15"/>
      <c r="I846" s="15"/>
    </row>
    <row r="847">
      <c r="E847" s="15"/>
      <c r="F847" s="17"/>
      <c r="G847" s="15"/>
      <c r="I847" s="15"/>
    </row>
    <row r="848">
      <c r="E848" s="15"/>
      <c r="F848" s="17"/>
      <c r="G848" s="15"/>
      <c r="I848" s="15"/>
    </row>
    <row r="849">
      <c r="E849" s="15"/>
      <c r="F849" s="17"/>
      <c r="G849" s="15"/>
      <c r="I849" s="15"/>
    </row>
    <row r="850">
      <c r="E850" s="15"/>
      <c r="F850" s="17"/>
      <c r="G850" s="15"/>
      <c r="I850" s="15"/>
    </row>
    <row r="851">
      <c r="E851" s="15"/>
      <c r="F851" s="17"/>
      <c r="G851" s="15"/>
      <c r="I851" s="15"/>
    </row>
    <row r="852">
      <c r="E852" s="15"/>
      <c r="F852" s="17"/>
      <c r="G852" s="15"/>
      <c r="I852" s="15"/>
    </row>
    <row r="853">
      <c r="E853" s="15"/>
      <c r="F853" s="17"/>
      <c r="G853" s="15"/>
      <c r="I853" s="15"/>
    </row>
    <row r="854">
      <c r="E854" s="15"/>
      <c r="F854" s="17"/>
      <c r="G854" s="15"/>
      <c r="I854" s="15"/>
    </row>
    <row r="855">
      <c r="E855" s="15"/>
      <c r="F855" s="17"/>
      <c r="G855" s="15"/>
      <c r="I855" s="15"/>
    </row>
    <row r="856">
      <c r="E856" s="15"/>
      <c r="F856" s="17"/>
      <c r="G856" s="15"/>
      <c r="I856" s="15"/>
    </row>
    <row r="857">
      <c r="E857" s="15"/>
      <c r="F857" s="17"/>
      <c r="G857" s="15"/>
      <c r="I857" s="15"/>
    </row>
    <row r="858">
      <c r="E858" s="15"/>
      <c r="F858" s="17"/>
      <c r="G858" s="15"/>
      <c r="I858" s="15"/>
    </row>
    <row r="859">
      <c r="E859" s="15"/>
      <c r="F859" s="17"/>
      <c r="G859" s="15"/>
      <c r="I859" s="15"/>
    </row>
    <row r="860">
      <c r="E860" s="15"/>
      <c r="F860" s="17"/>
      <c r="G860" s="15"/>
      <c r="I860" s="15"/>
    </row>
    <row r="861">
      <c r="E861" s="15"/>
      <c r="F861" s="17"/>
      <c r="G861" s="15"/>
      <c r="I861" s="15"/>
    </row>
    <row r="862">
      <c r="E862" s="15"/>
      <c r="F862" s="17"/>
      <c r="G862" s="15"/>
      <c r="I862" s="15"/>
    </row>
    <row r="863">
      <c r="E863" s="15"/>
      <c r="F863" s="17"/>
      <c r="G863" s="15"/>
      <c r="I863" s="15"/>
    </row>
    <row r="864">
      <c r="E864" s="15"/>
      <c r="F864" s="17"/>
      <c r="G864" s="15"/>
      <c r="I864" s="15"/>
    </row>
    <row r="865">
      <c r="E865" s="15"/>
      <c r="F865" s="17"/>
      <c r="G865" s="15"/>
      <c r="I865" s="15"/>
    </row>
    <row r="866">
      <c r="E866" s="15"/>
      <c r="F866" s="17"/>
      <c r="G866" s="15"/>
      <c r="I866" s="15"/>
    </row>
    <row r="867">
      <c r="E867" s="15"/>
      <c r="F867" s="17"/>
      <c r="G867" s="15"/>
      <c r="I867" s="15"/>
    </row>
    <row r="868">
      <c r="E868" s="15"/>
      <c r="F868" s="17"/>
      <c r="G868" s="15"/>
      <c r="I868" s="15"/>
    </row>
    <row r="869">
      <c r="E869" s="15"/>
      <c r="F869" s="17"/>
      <c r="G869" s="15"/>
      <c r="I869" s="15"/>
    </row>
    <row r="870">
      <c r="E870" s="15"/>
      <c r="F870" s="17"/>
      <c r="G870" s="15"/>
      <c r="I870" s="15"/>
    </row>
    <row r="871">
      <c r="E871" s="15"/>
      <c r="F871" s="17"/>
      <c r="G871" s="15"/>
      <c r="I871" s="15"/>
    </row>
    <row r="872">
      <c r="E872" s="15"/>
      <c r="F872" s="17"/>
      <c r="G872" s="15"/>
      <c r="I872" s="15"/>
    </row>
    <row r="873">
      <c r="E873" s="15"/>
      <c r="F873" s="17"/>
      <c r="G873" s="15"/>
      <c r="I873" s="15"/>
    </row>
    <row r="874">
      <c r="E874" s="15"/>
      <c r="F874" s="17"/>
      <c r="G874" s="15"/>
      <c r="I874" s="15"/>
    </row>
    <row r="875">
      <c r="E875" s="15"/>
      <c r="F875" s="17"/>
      <c r="G875" s="15"/>
      <c r="I875" s="15"/>
    </row>
    <row r="876">
      <c r="E876" s="15"/>
      <c r="F876" s="17"/>
      <c r="G876" s="15"/>
      <c r="I876" s="15"/>
    </row>
    <row r="877">
      <c r="E877" s="15"/>
      <c r="F877" s="17"/>
      <c r="G877" s="15"/>
      <c r="I877" s="15"/>
    </row>
    <row r="878">
      <c r="E878" s="15"/>
      <c r="F878" s="17"/>
      <c r="G878" s="15"/>
      <c r="I878" s="15"/>
    </row>
    <row r="879">
      <c r="E879" s="15"/>
      <c r="F879" s="17"/>
      <c r="G879" s="15"/>
      <c r="I879" s="15"/>
    </row>
    <row r="880">
      <c r="E880" s="15"/>
      <c r="F880" s="17"/>
      <c r="G880" s="15"/>
      <c r="I880" s="15"/>
    </row>
    <row r="881">
      <c r="E881" s="15"/>
      <c r="F881" s="17"/>
      <c r="G881" s="15"/>
      <c r="I881" s="15"/>
    </row>
    <row r="882">
      <c r="E882" s="15"/>
      <c r="F882" s="17"/>
      <c r="G882" s="15"/>
      <c r="I882" s="15"/>
    </row>
    <row r="883">
      <c r="E883" s="15"/>
      <c r="F883" s="17"/>
      <c r="G883" s="15"/>
      <c r="I883" s="15"/>
    </row>
    <row r="884">
      <c r="E884" s="15"/>
      <c r="F884" s="17"/>
      <c r="G884" s="15"/>
      <c r="I884" s="15"/>
    </row>
    <row r="885">
      <c r="E885" s="15"/>
      <c r="F885" s="17"/>
      <c r="G885" s="15"/>
      <c r="I885" s="15"/>
    </row>
    <row r="886">
      <c r="E886" s="15"/>
      <c r="F886" s="17"/>
      <c r="G886" s="15"/>
      <c r="I886" s="15"/>
    </row>
    <row r="887">
      <c r="E887" s="15"/>
      <c r="F887" s="17"/>
      <c r="G887" s="15"/>
      <c r="I887" s="15"/>
    </row>
    <row r="888">
      <c r="E888" s="15"/>
      <c r="F888" s="17"/>
      <c r="G888" s="15"/>
      <c r="I888" s="15"/>
    </row>
    <row r="889">
      <c r="E889" s="15"/>
      <c r="F889" s="17"/>
      <c r="G889" s="15"/>
      <c r="I889" s="15"/>
    </row>
    <row r="890">
      <c r="E890" s="15"/>
      <c r="F890" s="17"/>
      <c r="G890" s="15"/>
      <c r="I890" s="15"/>
    </row>
    <row r="891">
      <c r="E891" s="15"/>
      <c r="F891" s="17"/>
      <c r="G891" s="15"/>
      <c r="I891" s="15"/>
    </row>
    <row r="892">
      <c r="E892" s="15"/>
      <c r="F892" s="17"/>
      <c r="G892" s="15"/>
      <c r="I892" s="15"/>
    </row>
    <row r="893">
      <c r="E893" s="15"/>
      <c r="F893" s="17"/>
      <c r="G893" s="15"/>
      <c r="I893" s="15"/>
    </row>
    <row r="894">
      <c r="E894" s="15"/>
      <c r="F894" s="17"/>
      <c r="G894" s="15"/>
      <c r="I894" s="15"/>
    </row>
    <row r="895">
      <c r="E895" s="15"/>
      <c r="F895" s="17"/>
      <c r="G895" s="15"/>
      <c r="I895" s="15"/>
    </row>
    <row r="896">
      <c r="E896" s="15"/>
      <c r="F896" s="17"/>
      <c r="G896" s="15"/>
      <c r="I896" s="15"/>
    </row>
    <row r="897">
      <c r="E897" s="15"/>
      <c r="F897" s="17"/>
      <c r="G897" s="15"/>
      <c r="I897" s="15"/>
    </row>
    <row r="898">
      <c r="E898" s="15"/>
      <c r="F898" s="17"/>
      <c r="G898" s="15"/>
      <c r="I898" s="15"/>
    </row>
    <row r="899">
      <c r="E899" s="15"/>
      <c r="F899" s="17"/>
      <c r="G899" s="15"/>
      <c r="I899" s="15"/>
    </row>
    <row r="900">
      <c r="E900" s="15"/>
      <c r="F900" s="17"/>
      <c r="G900" s="15"/>
      <c r="I900" s="15"/>
    </row>
    <row r="901">
      <c r="E901" s="15"/>
      <c r="F901" s="17"/>
      <c r="G901" s="15"/>
      <c r="I901" s="15"/>
    </row>
    <row r="902">
      <c r="E902" s="15"/>
      <c r="F902" s="17"/>
      <c r="G902" s="15"/>
      <c r="I902" s="15"/>
    </row>
    <row r="903">
      <c r="E903" s="15"/>
      <c r="F903" s="17"/>
      <c r="G903" s="15"/>
      <c r="I903" s="15"/>
    </row>
    <row r="904">
      <c r="E904" s="15"/>
      <c r="F904" s="17"/>
      <c r="G904" s="15"/>
      <c r="I904" s="15"/>
    </row>
    <row r="905">
      <c r="E905" s="15"/>
      <c r="F905" s="17"/>
      <c r="G905" s="15"/>
      <c r="I905" s="15"/>
    </row>
    <row r="906">
      <c r="E906" s="15"/>
      <c r="F906" s="17"/>
      <c r="G906" s="15"/>
      <c r="I906" s="15"/>
    </row>
    <row r="907">
      <c r="E907" s="15"/>
      <c r="F907" s="17"/>
      <c r="G907" s="15"/>
      <c r="I907" s="15"/>
    </row>
    <row r="908">
      <c r="E908" s="15"/>
      <c r="F908" s="17"/>
      <c r="G908" s="15"/>
      <c r="I908" s="15"/>
    </row>
    <row r="909">
      <c r="E909" s="15"/>
      <c r="F909" s="17"/>
      <c r="G909" s="15"/>
      <c r="I909" s="15"/>
    </row>
    <row r="910">
      <c r="E910" s="15"/>
      <c r="F910" s="17"/>
      <c r="G910" s="15"/>
      <c r="I910" s="15"/>
    </row>
    <row r="911">
      <c r="E911" s="15"/>
      <c r="F911" s="17"/>
      <c r="G911" s="15"/>
      <c r="I911" s="15"/>
    </row>
    <row r="912">
      <c r="E912" s="15"/>
      <c r="F912" s="17"/>
      <c r="G912" s="15"/>
      <c r="I912" s="15"/>
    </row>
    <row r="913">
      <c r="E913" s="15"/>
      <c r="F913" s="17"/>
      <c r="G913" s="15"/>
      <c r="I913" s="15"/>
    </row>
    <row r="914">
      <c r="E914" s="15"/>
      <c r="F914" s="17"/>
      <c r="G914" s="15"/>
      <c r="I914" s="15"/>
    </row>
    <row r="915">
      <c r="E915" s="15"/>
      <c r="F915" s="17"/>
      <c r="G915" s="15"/>
      <c r="I915" s="15"/>
    </row>
    <row r="916">
      <c r="E916" s="15"/>
      <c r="F916" s="17"/>
      <c r="G916" s="15"/>
      <c r="I916" s="15"/>
    </row>
    <row r="917">
      <c r="E917" s="15"/>
      <c r="F917" s="17"/>
      <c r="G917" s="15"/>
      <c r="I917" s="15"/>
    </row>
    <row r="918">
      <c r="E918" s="15"/>
      <c r="F918" s="17"/>
      <c r="G918" s="15"/>
      <c r="I918" s="15"/>
    </row>
    <row r="919">
      <c r="E919" s="15"/>
      <c r="F919" s="17"/>
      <c r="G919" s="15"/>
      <c r="I919" s="15"/>
    </row>
    <row r="920">
      <c r="E920" s="15"/>
      <c r="F920" s="17"/>
      <c r="G920" s="15"/>
      <c r="I920" s="15"/>
    </row>
    <row r="921">
      <c r="E921" s="15"/>
      <c r="F921" s="17"/>
      <c r="G921" s="15"/>
      <c r="I921" s="15"/>
    </row>
    <row r="922">
      <c r="E922" s="15"/>
      <c r="F922" s="17"/>
      <c r="G922" s="15"/>
      <c r="I922" s="15"/>
    </row>
    <row r="923">
      <c r="E923" s="15"/>
      <c r="F923" s="17"/>
      <c r="G923" s="15"/>
      <c r="I923" s="15"/>
    </row>
    <row r="924">
      <c r="E924" s="15"/>
      <c r="F924" s="17"/>
      <c r="G924" s="15"/>
      <c r="I924" s="15"/>
    </row>
    <row r="925">
      <c r="E925" s="15"/>
      <c r="F925" s="17"/>
      <c r="G925" s="15"/>
      <c r="I925" s="15"/>
    </row>
    <row r="926">
      <c r="E926" s="15"/>
      <c r="F926" s="17"/>
      <c r="G926" s="15"/>
      <c r="I926" s="15"/>
    </row>
    <row r="927">
      <c r="E927" s="15"/>
      <c r="F927" s="17"/>
      <c r="G927" s="15"/>
      <c r="I927" s="15"/>
    </row>
    <row r="928">
      <c r="E928" s="15"/>
      <c r="F928" s="17"/>
      <c r="G928" s="15"/>
      <c r="I928" s="15"/>
    </row>
    <row r="929">
      <c r="E929" s="15"/>
      <c r="F929" s="17"/>
      <c r="G929" s="15"/>
      <c r="I929" s="15"/>
    </row>
    <row r="930">
      <c r="E930" s="15"/>
      <c r="F930" s="17"/>
      <c r="G930" s="15"/>
      <c r="I930" s="15"/>
    </row>
    <row r="931">
      <c r="E931" s="15"/>
      <c r="F931" s="17"/>
      <c r="G931" s="15"/>
      <c r="I931" s="15"/>
    </row>
    <row r="932">
      <c r="E932" s="15"/>
      <c r="F932" s="17"/>
      <c r="G932" s="15"/>
      <c r="I932" s="15"/>
    </row>
    <row r="933">
      <c r="E933" s="15"/>
      <c r="F933" s="17"/>
      <c r="G933" s="15"/>
      <c r="I933" s="15"/>
    </row>
    <row r="934">
      <c r="E934" s="15"/>
      <c r="F934" s="17"/>
      <c r="G934" s="15"/>
      <c r="I934" s="15"/>
    </row>
    <row r="935">
      <c r="E935" s="15"/>
      <c r="F935" s="17"/>
      <c r="G935" s="15"/>
      <c r="I935" s="15"/>
    </row>
    <row r="936">
      <c r="E936" s="15"/>
      <c r="F936" s="17"/>
      <c r="G936" s="15"/>
      <c r="I936" s="15"/>
    </row>
    <row r="937">
      <c r="E937" s="15"/>
      <c r="F937" s="17"/>
      <c r="G937" s="15"/>
      <c r="I937" s="15"/>
    </row>
    <row r="938">
      <c r="E938" s="15"/>
      <c r="F938" s="17"/>
      <c r="G938" s="15"/>
      <c r="I938" s="15"/>
    </row>
    <row r="939">
      <c r="E939" s="15"/>
      <c r="F939" s="17"/>
      <c r="G939" s="15"/>
      <c r="I939" s="15"/>
    </row>
    <row r="940">
      <c r="E940" s="15"/>
      <c r="F940" s="17"/>
      <c r="G940" s="15"/>
      <c r="I940" s="15"/>
    </row>
    <row r="941">
      <c r="E941" s="15"/>
      <c r="F941" s="17"/>
      <c r="G941" s="15"/>
      <c r="I941" s="15"/>
    </row>
    <row r="942">
      <c r="E942" s="15"/>
      <c r="F942" s="17"/>
      <c r="G942" s="15"/>
      <c r="I942" s="15"/>
    </row>
    <row r="943">
      <c r="E943" s="15"/>
      <c r="F943" s="17"/>
      <c r="G943" s="15"/>
      <c r="I943" s="15"/>
    </row>
    <row r="944">
      <c r="E944" s="15"/>
      <c r="F944" s="17"/>
      <c r="G944" s="15"/>
      <c r="I944" s="15"/>
    </row>
    <row r="945">
      <c r="E945" s="15"/>
      <c r="F945" s="17"/>
      <c r="G945" s="15"/>
      <c r="I945" s="15"/>
    </row>
    <row r="946">
      <c r="E946" s="15"/>
      <c r="F946" s="17"/>
      <c r="G946" s="15"/>
      <c r="I946" s="15"/>
    </row>
    <row r="947">
      <c r="E947" s="15"/>
      <c r="F947" s="17"/>
      <c r="G947" s="15"/>
      <c r="I947" s="15"/>
    </row>
    <row r="948">
      <c r="E948" s="15"/>
      <c r="F948" s="17"/>
      <c r="G948" s="15"/>
      <c r="I948" s="15"/>
    </row>
    <row r="949">
      <c r="E949" s="15"/>
      <c r="F949" s="17"/>
      <c r="G949" s="15"/>
      <c r="I949" s="15"/>
    </row>
    <row r="950">
      <c r="E950" s="15"/>
      <c r="F950" s="17"/>
      <c r="G950" s="15"/>
      <c r="I950" s="15"/>
    </row>
    <row r="951">
      <c r="E951" s="15"/>
      <c r="F951" s="17"/>
      <c r="G951" s="15"/>
      <c r="I951" s="15"/>
    </row>
    <row r="952">
      <c r="E952" s="15"/>
      <c r="F952" s="17"/>
      <c r="G952" s="15"/>
      <c r="I952" s="15"/>
    </row>
    <row r="953">
      <c r="E953" s="15"/>
      <c r="F953" s="17"/>
      <c r="G953" s="15"/>
      <c r="I953" s="15"/>
    </row>
    <row r="954">
      <c r="E954" s="15"/>
      <c r="F954" s="17"/>
      <c r="G954" s="15"/>
      <c r="I954" s="15"/>
    </row>
    <row r="955">
      <c r="E955" s="15"/>
      <c r="F955" s="17"/>
      <c r="G955" s="15"/>
      <c r="I955" s="15"/>
    </row>
    <row r="956">
      <c r="E956" s="15"/>
      <c r="F956" s="17"/>
      <c r="G956" s="15"/>
      <c r="I956" s="15"/>
    </row>
    <row r="957">
      <c r="E957" s="15"/>
      <c r="F957" s="17"/>
      <c r="G957" s="15"/>
      <c r="I957" s="15"/>
    </row>
    <row r="958">
      <c r="E958" s="15"/>
      <c r="F958" s="17"/>
      <c r="G958" s="15"/>
      <c r="I958" s="15"/>
    </row>
    <row r="959">
      <c r="E959" s="15"/>
      <c r="F959" s="17"/>
      <c r="G959" s="15"/>
      <c r="I959" s="15"/>
    </row>
    <row r="960">
      <c r="E960" s="15"/>
      <c r="F960" s="17"/>
      <c r="G960" s="15"/>
      <c r="I960" s="15"/>
    </row>
    <row r="961">
      <c r="E961" s="15"/>
      <c r="F961" s="17"/>
      <c r="G961" s="15"/>
      <c r="I961" s="15"/>
    </row>
    <row r="962">
      <c r="E962" s="15"/>
      <c r="F962" s="17"/>
      <c r="G962" s="15"/>
      <c r="I962" s="15"/>
    </row>
    <row r="963">
      <c r="E963" s="15"/>
      <c r="F963" s="17"/>
      <c r="G963" s="15"/>
      <c r="I963" s="15"/>
    </row>
    <row r="964">
      <c r="E964" s="15"/>
      <c r="F964" s="17"/>
      <c r="G964" s="15"/>
      <c r="I964" s="15"/>
    </row>
    <row r="965">
      <c r="E965" s="15"/>
      <c r="F965" s="17"/>
      <c r="G965" s="15"/>
      <c r="I965" s="15"/>
    </row>
    <row r="966">
      <c r="E966" s="15"/>
      <c r="F966" s="17"/>
      <c r="G966" s="15"/>
      <c r="I966" s="15"/>
    </row>
    <row r="967">
      <c r="E967" s="15"/>
      <c r="F967" s="17"/>
      <c r="G967" s="15"/>
      <c r="I967" s="15"/>
    </row>
    <row r="968">
      <c r="E968" s="15"/>
      <c r="F968" s="17"/>
      <c r="G968" s="15"/>
      <c r="I968" s="15"/>
    </row>
    <row r="969">
      <c r="E969" s="15"/>
      <c r="F969" s="17"/>
      <c r="G969" s="15"/>
      <c r="I969" s="15"/>
    </row>
    <row r="970">
      <c r="E970" s="15"/>
      <c r="F970" s="17"/>
      <c r="G970" s="15"/>
      <c r="I970" s="15"/>
    </row>
    <row r="971">
      <c r="E971" s="15"/>
      <c r="F971" s="17"/>
      <c r="G971" s="15"/>
      <c r="I971" s="15"/>
    </row>
    <row r="972">
      <c r="E972" s="15"/>
      <c r="F972" s="17"/>
      <c r="G972" s="15"/>
      <c r="I972" s="15"/>
    </row>
    <row r="973">
      <c r="E973" s="15"/>
      <c r="F973" s="17"/>
      <c r="G973" s="15"/>
      <c r="I973" s="15"/>
    </row>
    <row r="974">
      <c r="E974" s="15"/>
      <c r="F974" s="17"/>
      <c r="G974" s="15"/>
      <c r="I974" s="15"/>
    </row>
    <row r="975">
      <c r="E975" s="15"/>
      <c r="F975" s="17"/>
      <c r="G975" s="15"/>
      <c r="I975" s="15"/>
    </row>
    <row r="976">
      <c r="E976" s="15"/>
      <c r="F976" s="17"/>
      <c r="G976" s="15"/>
      <c r="I976" s="15"/>
    </row>
    <row r="977">
      <c r="E977" s="15"/>
      <c r="F977" s="17"/>
      <c r="G977" s="15"/>
      <c r="I977" s="15"/>
    </row>
    <row r="978">
      <c r="E978" s="15"/>
      <c r="F978" s="17"/>
      <c r="G978" s="15"/>
      <c r="I978" s="15"/>
    </row>
    <row r="979">
      <c r="E979" s="15"/>
      <c r="F979" s="17"/>
      <c r="G979" s="15"/>
      <c r="I979" s="15"/>
    </row>
    <row r="980">
      <c r="E980" s="15"/>
      <c r="F980" s="17"/>
      <c r="G980" s="15"/>
      <c r="I980" s="15"/>
    </row>
    <row r="981">
      <c r="E981" s="15"/>
      <c r="F981" s="17"/>
      <c r="G981" s="15"/>
      <c r="I981" s="15"/>
    </row>
    <row r="982">
      <c r="E982" s="15"/>
      <c r="F982" s="17"/>
      <c r="G982" s="15"/>
      <c r="I982" s="15"/>
    </row>
    <row r="983">
      <c r="E983" s="15"/>
      <c r="F983" s="17"/>
      <c r="G983" s="15"/>
      <c r="I983" s="15"/>
    </row>
    <row r="984">
      <c r="E984" s="15"/>
      <c r="F984" s="17"/>
      <c r="G984" s="15"/>
      <c r="I984" s="15"/>
    </row>
    <row r="985">
      <c r="E985" s="15"/>
      <c r="F985" s="17"/>
      <c r="G985" s="15"/>
      <c r="I985" s="15"/>
    </row>
    <row r="986">
      <c r="E986" s="15"/>
      <c r="F986" s="17"/>
      <c r="G986" s="15"/>
      <c r="I986" s="15"/>
    </row>
    <row r="987">
      <c r="E987" s="15"/>
      <c r="F987" s="17"/>
      <c r="G987" s="15"/>
      <c r="I987" s="15"/>
    </row>
    <row r="988">
      <c r="E988" s="15"/>
      <c r="F988" s="17"/>
      <c r="G988" s="15"/>
      <c r="I988" s="15"/>
    </row>
    <row r="989">
      <c r="E989" s="15"/>
      <c r="F989" s="17"/>
      <c r="G989" s="15"/>
      <c r="I989" s="15"/>
    </row>
    <row r="990">
      <c r="E990" s="15"/>
      <c r="F990" s="17"/>
      <c r="G990" s="15"/>
      <c r="I990" s="15"/>
    </row>
    <row r="991">
      <c r="E991" s="15"/>
      <c r="F991" s="17"/>
      <c r="G991" s="15"/>
      <c r="I991" s="15"/>
    </row>
    <row r="992">
      <c r="E992" s="15"/>
      <c r="F992" s="17"/>
      <c r="G992" s="15"/>
      <c r="I992" s="15"/>
    </row>
    <row r="993">
      <c r="E993" s="15"/>
      <c r="F993" s="17"/>
      <c r="G993" s="15"/>
      <c r="I993" s="15"/>
    </row>
    <row r="994">
      <c r="E994" s="15"/>
      <c r="F994" s="17"/>
      <c r="G994" s="15"/>
      <c r="I994" s="15"/>
    </row>
    <row r="995">
      <c r="E995" s="15"/>
      <c r="F995" s="17"/>
      <c r="G995" s="15"/>
      <c r="I995" s="15"/>
    </row>
    <row r="996">
      <c r="E996" s="15"/>
      <c r="F996" s="17"/>
      <c r="G996" s="15"/>
      <c r="I996" s="15"/>
    </row>
    <row r="997">
      <c r="E997" s="15"/>
      <c r="F997" s="17"/>
      <c r="G997" s="15"/>
      <c r="I997" s="15"/>
    </row>
    <row r="998">
      <c r="E998" s="15"/>
      <c r="F998" s="17"/>
      <c r="G998" s="15"/>
      <c r="I998" s="15"/>
    </row>
    <row r="999">
      <c r="E999" s="15"/>
      <c r="F999" s="17"/>
      <c r="G999" s="15"/>
      <c r="I999" s="15"/>
    </row>
    <row r="1000">
      <c r="E1000" s="15"/>
      <c r="F1000" s="17"/>
      <c r="G1000" s="15"/>
      <c r="I1000" s="15"/>
    </row>
  </sheetData>
  <conditionalFormatting sqref="A2:J1000">
    <cfRule type="expression" dxfId="0" priority="1" stopIfTrue="1">
      <formula>$H2=TRUE</formula>
    </cfRule>
  </conditionalFormatting>
  <dataValidations>
    <dataValidation type="list" allowBlank="1" sqref="G2:G1000">
      <formula1>"TOP,SEMITOP,TERZO-SLOT,QUARTO-SLOT,SCOMMESSE,TITOLARI,ALTRI"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2.13"/>
    <col customWidth="1" min="3" max="3" width="13.63"/>
    <col customWidth="1" min="4" max="4" width="8.13"/>
    <col customWidth="1" min="5" max="5" width="4.63"/>
    <col customWidth="1" min="6" max="6" width="8.5"/>
    <col customWidth="1" min="7" max="7" width="18.75"/>
    <col customWidth="1" min="8" max="8" width="13.88"/>
    <col customWidth="1" min="9" max="9" width="14.25"/>
    <col customWidth="1" min="10" max="10" width="4.75"/>
  </cols>
  <sheetData>
    <row r="1">
      <c r="A1" s="5" t="str">
        <f>IFERROR(__xludf.DUMMYFUNCTION("QUERY(LISTONE!A2:I1000, ""SELECT A, B, C, D, E, F, G, H WHERE B = 'D' ORDER BY I ASC, E DESC"", 1)"),"Id")</f>
        <v>Id</v>
      </c>
      <c r="B1" s="5" t="str">
        <f>IFERROR(__xludf.DUMMYFUNCTION("""COMPUTED_VALUE"""),"R")</f>
        <v>R</v>
      </c>
      <c r="C1" s="5" t="str">
        <f>IFERROR(__xludf.DUMMYFUNCTION("""COMPUTED_VALUE"""),"Nome")</f>
        <v>Nome</v>
      </c>
      <c r="D1" s="5" t="str">
        <f>IFERROR(__xludf.DUMMYFUNCTION("""COMPUTED_VALUE"""),"Squadra")</f>
        <v>Squadra</v>
      </c>
      <c r="E1" s="5" t="str">
        <f>IFERROR(__xludf.DUMMYFUNCTION("""COMPUTED_VALUE"""),"FVM")</f>
        <v>FVM</v>
      </c>
      <c r="F1" s="5" t="str">
        <f>IFERROR(__xludf.DUMMYFUNCTION("""COMPUTED_VALUE"""),"% Budget")</f>
        <v>% Budget</v>
      </c>
      <c r="G1" s="9" t="str">
        <f>IFERROR(__xludf.DUMMYFUNCTION("""COMPUTED_VALUE"""),"Fascia")</f>
        <v>Fascia</v>
      </c>
      <c r="H1" s="9" t="str">
        <f>IFERROR(__xludf.DUMMYFUNCTION("""COMPUTED_VALUE"""),"⭐ Preferito")</f>
        <v>⭐ Preferito</v>
      </c>
      <c r="I1" s="9" t="s">
        <v>8</v>
      </c>
      <c r="J1" s="9" t="s">
        <v>9</v>
      </c>
    </row>
    <row r="2">
      <c r="A2" s="11">
        <f>IFERROR(__xludf.DUMMYFUNCTION("""COMPUTED_VALUE"""),254.0)</f>
        <v>254</v>
      </c>
      <c r="B2" s="11" t="str">
        <f>IFERROR(__xludf.DUMMYFUNCTION("""COMPUTED_VALUE"""),"D")</f>
        <v>D</v>
      </c>
      <c r="C2" s="13" t="str">
        <f>IFERROR(__xludf.DUMMYFUNCTION("""COMPUTED_VALUE"""),"Dimarco")</f>
        <v>Dimarco</v>
      </c>
      <c r="D2" s="11" t="str">
        <f>IFERROR(__xludf.DUMMYFUNCTION("""COMPUTED_VALUE"""),"Inter")</f>
        <v>Inter</v>
      </c>
      <c r="E2" s="15">
        <f>IFERROR(__xludf.DUMMYFUNCTION("""COMPUTED_VALUE"""),90.0)</f>
        <v>90</v>
      </c>
      <c r="F2" s="17">
        <f>IFERROR(__xludf.DUMMYFUNCTION("""COMPUTED_VALUE"""),0.15)</f>
        <v>0.15</v>
      </c>
      <c r="G2" s="15" t="str">
        <f>IFERROR(__xludf.DUMMYFUNCTION("""COMPUTED_VALUE"""),"TOP")</f>
        <v>TOP</v>
      </c>
      <c r="H2" s="11"/>
      <c r="I2" s="15"/>
    </row>
    <row r="3">
      <c r="A3" s="11">
        <f>IFERROR(__xludf.DUMMYFUNCTION("""COMPUTED_VALUE"""),7181.0)</f>
        <v>7181</v>
      </c>
      <c r="B3" s="11" t="str">
        <f>IFERROR(__xludf.DUMMYFUNCTION("""COMPUTED_VALUE"""),"D")</f>
        <v>D</v>
      </c>
      <c r="C3" s="13" t="str">
        <f>IFERROR(__xludf.DUMMYFUNCTION("""COMPUTED_VALUE"""),"Wesley")</f>
        <v>Wesley</v>
      </c>
      <c r="D3" s="11" t="str">
        <f>IFERROR(__xludf.DUMMYFUNCTION("""COMPUTED_VALUE"""),"Roma")</f>
        <v>Roma</v>
      </c>
      <c r="E3" s="15">
        <f>IFERROR(__xludf.DUMMYFUNCTION("""COMPUTED_VALUE"""),60.0)</f>
        <v>60</v>
      </c>
      <c r="F3" s="17">
        <f>IFERROR(__xludf.DUMMYFUNCTION("""COMPUTED_VALUE"""),0.1)</f>
        <v>0.1</v>
      </c>
      <c r="G3" s="15" t="str">
        <f>IFERROR(__xludf.DUMMYFUNCTION("""COMPUTED_VALUE"""),"TOP")</f>
        <v>TOP</v>
      </c>
      <c r="H3" s="11"/>
      <c r="I3" s="15"/>
    </row>
    <row r="4">
      <c r="A4" s="11">
        <f>IFERROR(__xludf.DUMMYFUNCTION("""COMPUTED_VALUE"""),2788.0)</f>
        <v>2788</v>
      </c>
      <c r="B4" s="11" t="str">
        <f>IFERROR(__xludf.DUMMYFUNCTION("""COMPUTED_VALUE"""),"D")</f>
        <v>D</v>
      </c>
      <c r="C4" s="13" t="str">
        <f>IFERROR(__xludf.DUMMYFUNCTION("""COMPUTED_VALUE"""),"Bremer")</f>
        <v>Bremer</v>
      </c>
      <c r="D4" s="11" t="str">
        <f>IFERROR(__xludf.DUMMYFUNCTION("""COMPUTED_VALUE"""),"Juventus")</f>
        <v>Juventus</v>
      </c>
      <c r="E4" s="15">
        <f>IFERROR(__xludf.DUMMYFUNCTION("""COMPUTED_VALUE"""),42.0)</f>
        <v>42</v>
      </c>
      <c r="F4" s="17">
        <f>IFERROR(__xludf.DUMMYFUNCTION("""COMPUTED_VALUE"""),0.07)</f>
        <v>0.07</v>
      </c>
      <c r="G4" s="15" t="str">
        <f>IFERROR(__xludf.DUMMYFUNCTION("""COMPUTED_VALUE"""),"TOP")</f>
        <v>TOP</v>
      </c>
      <c r="H4" s="11"/>
      <c r="I4" s="15"/>
    </row>
    <row r="5">
      <c r="A5" s="11">
        <f>IFERROR(__xludf.DUMMYFUNCTION("""COMPUTED_VALUE"""),4998.0)</f>
        <v>4998</v>
      </c>
      <c r="B5" s="11" t="str">
        <f>IFERROR(__xludf.DUMMYFUNCTION("""COMPUTED_VALUE"""),"D")</f>
        <v>D</v>
      </c>
      <c r="C5" s="13" t="str">
        <f>IFERROR(__xludf.DUMMYFUNCTION("""COMPUTED_VALUE"""),"Molina N.")</f>
        <v>Molina N.</v>
      </c>
      <c r="D5" s="11" t="str">
        <f>IFERROR(__xludf.DUMMYFUNCTION("""COMPUTED_VALUE"""),"Roma")</f>
        <v>Roma</v>
      </c>
      <c r="E5" s="15">
        <f>IFERROR(__xludf.DUMMYFUNCTION("""COMPUTED_VALUE"""),36.0)</f>
        <v>36</v>
      </c>
      <c r="F5" s="17">
        <f>IFERROR(__xludf.DUMMYFUNCTION("""COMPUTED_VALUE"""),0.06)</f>
        <v>0.06</v>
      </c>
      <c r="G5" s="15" t="str">
        <f>IFERROR(__xludf.DUMMYFUNCTION("""COMPUTED_VALUE"""),"TOP")</f>
        <v>TOP</v>
      </c>
      <c r="H5" s="11"/>
      <c r="I5" s="15"/>
    </row>
    <row r="6">
      <c r="A6" s="11">
        <f>IFERROR(__xludf.DUMMYFUNCTION("""COMPUTED_VALUE"""),2296.0)</f>
        <v>2296</v>
      </c>
      <c r="B6" s="11" t="str">
        <f>IFERROR(__xludf.DUMMYFUNCTION("""COMPUTED_VALUE"""),"D")</f>
        <v>D</v>
      </c>
      <c r="C6" s="13" t="str">
        <f>IFERROR(__xludf.DUMMYFUNCTION("""COMPUTED_VALUE"""),"Mancini")</f>
        <v>Mancini</v>
      </c>
      <c r="D6" s="11" t="str">
        <f>IFERROR(__xludf.DUMMYFUNCTION("""COMPUTED_VALUE"""),"Roma")</f>
        <v>Roma</v>
      </c>
      <c r="E6" s="15">
        <f>IFERROR(__xludf.DUMMYFUNCTION("""COMPUTED_VALUE"""),36.0)</f>
        <v>36</v>
      </c>
      <c r="F6" s="17">
        <f>IFERROR(__xludf.DUMMYFUNCTION("""COMPUTED_VALUE"""),0.06)</f>
        <v>0.06</v>
      </c>
      <c r="G6" s="15" t="str">
        <f>IFERROR(__xludf.DUMMYFUNCTION("""COMPUTED_VALUE"""),"TOP")</f>
        <v>TOP</v>
      </c>
      <c r="H6" s="11"/>
      <c r="I6" s="15"/>
      <c r="K6" s="21">
        <v>18.0</v>
      </c>
    </row>
    <row r="7">
      <c r="A7" s="11">
        <f>IFERROR(__xludf.DUMMYFUNCTION("""COMPUTED_VALUE"""),2120.0)</f>
        <v>2120</v>
      </c>
      <c r="B7" s="11" t="str">
        <f>IFERROR(__xludf.DUMMYFUNCTION("""COMPUTED_VALUE"""),"D")</f>
        <v>D</v>
      </c>
      <c r="C7" s="13" t="str">
        <f>IFERROR(__xludf.DUMMYFUNCTION("""COMPUTED_VALUE"""),"Bastoni")</f>
        <v>Bastoni</v>
      </c>
      <c r="D7" s="11" t="str">
        <f>IFERROR(__xludf.DUMMYFUNCTION("""COMPUTED_VALUE"""),"Inter")</f>
        <v>Inter</v>
      </c>
      <c r="E7" s="15">
        <f>IFERROR(__xludf.DUMMYFUNCTION("""COMPUTED_VALUE"""),36.0)</f>
        <v>36</v>
      </c>
      <c r="F7" s="17">
        <f>IFERROR(__xludf.DUMMYFUNCTION("""COMPUTED_VALUE"""),0.06)</f>
        <v>0.06</v>
      </c>
      <c r="G7" s="15" t="str">
        <f>IFERROR(__xludf.DUMMYFUNCTION("""COMPUTED_VALUE"""),"TOP")</f>
        <v>TOP</v>
      </c>
      <c r="H7" s="11"/>
      <c r="I7" s="15"/>
      <c r="K7" s="21">
        <v>18.0</v>
      </c>
    </row>
    <row r="8">
      <c r="A8" s="11">
        <f>IFERROR(__xludf.DUMMYFUNCTION("""COMPUTED_VALUE"""),5022.0)</f>
        <v>5022</v>
      </c>
      <c r="B8" s="11" t="str">
        <f>IFERROR(__xludf.DUMMYFUNCTION("""COMPUTED_VALUE"""),"D")</f>
        <v>D</v>
      </c>
      <c r="C8" s="13" t="str">
        <f>IFERROR(__xludf.DUMMYFUNCTION("""COMPUTED_VALUE"""),"Pavlovic")</f>
        <v>Pavlovic</v>
      </c>
      <c r="D8" s="11" t="str">
        <f>IFERROR(__xludf.DUMMYFUNCTION("""COMPUTED_VALUE"""),"Milan")</f>
        <v>Milan</v>
      </c>
      <c r="E8" s="15">
        <f>IFERROR(__xludf.DUMMYFUNCTION("""COMPUTED_VALUE"""),36.0)</f>
        <v>36</v>
      </c>
      <c r="F8" s="17">
        <f>IFERROR(__xludf.DUMMYFUNCTION("""COMPUTED_VALUE"""),0.06)</f>
        <v>0.06</v>
      </c>
      <c r="G8" s="15" t="str">
        <f>IFERROR(__xludf.DUMMYFUNCTION("""COMPUTED_VALUE"""),"TOP")</f>
        <v>TOP</v>
      </c>
      <c r="H8" s="11"/>
      <c r="I8" s="15"/>
    </row>
    <row r="9">
      <c r="A9" s="11">
        <f>IFERROR(__xludf.DUMMYFUNCTION("""COMPUTED_VALUE"""),6956.0)</f>
        <v>6956</v>
      </c>
      <c r="B9" s="11" t="str">
        <f>IFERROR(__xludf.DUMMYFUNCTION("""COMPUTED_VALUE"""),"D")</f>
        <v>D</v>
      </c>
      <c r="C9" s="13" t="str">
        <f>IFERROR(__xludf.DUMMYFUNCTION("""COMPUTED_VALUE"""),"Solet")</f>
        <v>Solet</v>
      </c>
      <c r="D9" s="11" t="str">
        <f>IFERROR(__xludf.DUMMYFUNCTION("""COMPUTED_VALUE"""),"Udinese")</f>
        <v>Udinese</v>
      </c>
      <c r="E9" s="15">
        <f>IFERROR(__xludf.DUMMYFUNCTION("""COMPUTED_VALUE"""),27.0)</f>
        <v>27</v>
      </c>
      <c r="F9" s="17">
        <f>IFERROR(__xludf.DUMMYFUNCTION("""COMPUTED_VALUE"""),0.045)</f>
        <v>0.045</v>
      </c>
      <c r="G9" s="15" t="str">
        <f>IFERROR(__xludf.DUMMYFUNCTION("""COMPUTED_VALUE"""),"TOP")</f>
        <v>TOP</v>
      </c>
      <c r="H9" s="11"/>
      <c r="I9" s="15"/>
      <c r="K9" s="21">
        <v>24.0</v>
      </c>
    </row>
    <row r="10">
      <c r="A10" s="11">
        <f>IFERROR(__xludf.DUMMYFUNCTION("""COMPUTED_VALUE"""),4159.0)</f>
        <v>4159</v>
      </c>
      <c r="B10" s="11" t="str">
        <f>IFERROR(__xludf.DUMMYFUNCTION("""COMPUTED_VALUE"""),"D")</f>
        <v>D</v>
      </c>
      <c r="C10" s="13" t="str">
        <f>IFERROR(__xludf.DUMMYFUNCTION("""COMPUTED_VALUE"""),"Akanji")</f>
        <v>Akanji</v>
      </c>
      <c r="D10" s="11" t="str">
        <f>IFERROR(__xludf.DUMMYFUNCTION("""COMPUTED_VALUE"""),"Inter")</f>
        <v>Inter</v>
      </c>
      <c r="E10" s="15">
        <f>IFERROR(__xludf.DUMMYFUNCTION("""COMPUTED_VALUE"""),24.0)</f>
        <v>24</v>
      </c>
      <c r="F10" s="17">
        <f>IFERROR(__xludf.DUMMYFUNCTION("""COMPUTED_VALUE"""),0.04)</f>
        <v>0.04</v>
      </c>
      <c r="G10" s="15" t="str">
        <f>IFERROR(__xludf.DUMMYFUNCTION("""COMPUTED_VALUE"""),"TOP")</f>
        <v>TOP</v>
      </c>
      <c r="H10" s="11"/>
      <c r="I10" s="15"/>
    </row>
    <row r="11">
      <c r="A11" s="11">
        <f>IFERROR(__xludf.DUMMYFUNCTION("""COMPUTED_VALUE"""),4409.0)</f>
        <v>4409</v>
      </c>
      <c r="B11" s="11" t="str">
        <f>IFERROR(__xludf.DUMMYFUNCTION("""COMPUTED_VALUE"""),"D")</f>
        <v>D</v>
      </c>
      <c r="C11" s="13" t="str">
        <f>IFERROR(__xludf.DUMMYFUNCTION("""COMPUTED_VALUE"""),"Rrahmani")</f>
        <v>Rrahmani</v>
      </c>
      <c r="D11" s="11" t="str">
        <f>IFERROR(__xludf.DUMMYFUNCTION("""COMPUTED_VALUE"""),"Napoli")</f>
        <v>Napoli</v>
      </c>
      <c r="E11" s="15">
        <f>IFERROR(__xludf.DUMMYFUNCTION("""COMPUTED_VALUE"""),24.0)</f>
        <v>24</v>
      </c>
      <c r="F11" s="17">
        <f>IFERROR(__xludf.DUMMYFUNCTION("""COMPUTED_VALUE"""),0.04)</f>
        <v>0.04</v>
      </c>
      <c r="G11" s="15" t="str">
        <f>IFERROR(__xludf.DUMMYFUNCTION("""COMPUTED_VALUE"""),"SEMITOP")</f>
        <v>SEMITOP</v>
      </c>
      <c r="H11" s="11"/>
      <c r="I11" s="15"/>
    </row>
    <row r="12">
      <c r="A12" s="11">
        <f>IFERROR(__xludf.DUMMYFUNCTION("""COMPUTED_VALUE"""),4976.0)</f>
        <v>4976</v>
      </c>
      <c r="B12" s="11" t="str">
        <f>IFERROR(__xludf.DUMMYFUNCTION("""COMPUTED_VALUE"""),"D")</f>
        <v>D</v>
      </c>
      <c r="C12" s="13" t="str">
        <f>IFERROR(__xludf.DUMMYFUNCTION("""COMPUTED_VALUE"""),"Kalulu")</f>
        <v>Kalulu</v>
      </c>
      <c r="D12" s="11" t="str">
        <f>IFERROR(__xludf.DUMMYFUNCTION("""COMPUTED_VALUE"""),"Juventus")</f>
        <v>Juventus</v>
      </c>
      <c r="E12" s="15">
        <f>IFERROR(__xludf.DUMMYFUNCTION("""COMPUTED_VALUE"""),24.0)</f>
        <v>24</v>
      </c>
      <c r="F12" s="17">
        <f>IFERROR(__xludf.DUMMYFUNCTION("""COMPUTED_VALUE"""),0.04)</f>
        <v>0.04</v>
      </c>
      <c r="G12" s="15" t="str">
        <f>IFERROR(__xludf.DUMMYFUNCTION("""COMPUTED_VALUE"""),"SEMITOP")</f>
        <v>SEMITOP</v>
      </c>
      <c r="H12" s="11"/>
      <c r="I12" s="15"/>
    </row>
    <row r="13">
      <c r="A13" s="11">
        <f>IFERROR(__xludf.DUMMYFUNCTION("""COMPUTED_VALUE"""),4317.0)</f>
        <v>4317</v>
      </c>
      <c r="B13" s="11" t="str">
        <f>IFERROR(__xludf.DUMMYFUNCTION("""COMPUTED_VALUE"""),"D")</f>
        <v>D</v>
      </c>
      <c r="C13" s="13" t="str">
        <f>IFERROR(__xludf.DUMMYFUNCTION("""COMPUTED_VALUE"""),"N'Dicka")</f>
        <v>N'Dicka</v>
      </c>
      <c r="D13" s="11" t="str">
        <f>IFERROR(__xludf.DUMMYFUNCTION("""COMPUTED_VALUE"""),"Roma")</f>
        <v>Roma</v>
      </c>
      <c r="E13" s="15">
        <f>IFERROR(__xludf.DUMMYFUNCTION("""COMPUTED_VALUE"""),24.0)</f>
        <v>24</v>
      </c>
      <c r="F13" s="17">
        <f>IFERROR(__xludf.DUMMYFUNCTION("""COMPUTED_VALUE"""),0.04)</f>
        <v>0.04</v>
      </c>
      <c r="G13" s="15" t="str">
        <f>IFERROR(__xludf.DUMMYFUNCTION("""COMPUTED_VALUE"""),"SEMITOP")</f>
        <v>SEMITOP</v>
      </c>
      <c r="H13" s="11"/>
      <c r="I13" s="15"/>
      <c r="K13" s="21">
        <v>18.0</v>
      </c>
    </row>
    <row r="14">
      <c r="A14" s="11">
        <f>IFERROR(__xludf.DUMMYFUNCTION("""COMPUTED_VALUE"""),2816.0)</f>
        <v>2816</v>
      </c>
      <c r="B14" s="11" t="str">
        <f>IFERROR(__xludf.DUMMYFUNCTION("""COMPUTED_VALUE"""),"D")</f>
        <v>D</v>
      </c>
      <c r="C14" s="13" t="str">
        <f>IFERROR(__xludf.DUMMYFUNCTION("""COMPUTED_VALUE"""),"Di Lorenzo")</f>
        <v>Di Lorenzo</v>
      </c>
      <c r="D14" s="11" t="str">
        <f>IFERROR(__xludf.DUMMYFUNCTION("""COMPUTED_VALUE"""),"Napoli")</f>
        <v>Napoli</v>
      </c>
      <c r="E14" s="15">
        <f>IFERROR(__xludf.DUMMYFUNCTION("""COMPUTED_VALUE"""),24.0)</f>
        <v>24</v>
      </c>
      <c r="F14" s="17">
        <f>IFERROR(__xludf.DUMMYFUNCTION("""COMPUTED_VALUE"""),0.04)</f>
        <v>0.04</v>
      </c>
      <c r="G14" s="15" t="str">
        <f>IFERROR(__xludf.DUMMYFUNCTION("""COMPUTED_VALUE"""),"SEMITOP")</f>
        <v>SEMITOP</v>
      </c>
      <c r="H14" s="11"/>
      <c r="I14" s="15"/>
    </row>
    <row r="15">
      <c r="A15" s="11">
        <f>IFERROR(__xludf.DUMMYFUNCTION("""COMPUTED_VALUE"""),6869.0)</f>
        <v>6869</v>
      </c>
      <c r="B15" s="11" t="str">
        <f>IFERROR(__xludf.DUMMYFUNCTION("""COMPUTED_VALUE"""),"D")</f>
        <v>D</v>
      </c>
      <c r="C15" s="13" t="str">
        <f>IFERROR(__xludf.DUMMYFUNCTION("""COMPUTED_VALUE"""),"Ramon")</f>
        <v>Ramon</v>
      </c>
      <c r="D15" s="11" t="str">
        <f>IFERROR(__xludf.DUMMYFUNCTION("""COMPUTED_VALUE"""),"Como")</f>
        <v>Como</v>
      </c>
      <c r="E15" s="15">
        <f>IFERROR(__xludf.DUMMYFUNCTION("""COMPUTED_VALUE"""),24.0)</f>
        <v>24</v>
      </c>
      <c r="F15" s="17">
        <f>IFERROR(__xludf.DUMMYFUNCTION("""COMPUTED_VALUE"""),0.04)</f>
        <v>0.04</v>
      </c>
      <c r="G15" s="15" t="str">
        <f>IFERROR(__xludf.DUMMYFUNCTION("""COMPUTED_VALUE"""),"SEMITOP")</f>
        <v>SEMITOP</v>
      </c>
      <c r="H15" s="11"/>
      <c r="I15" s="15"/>
      <c r="K15" s="21">
        <v>7.0</v>
      </c>
    </row>
    <row r="16">
      <c r="A16" s="11">
        <f>IFERROR(__xludf.DUMMYFUNCTION("""COMPUTED_VALUE"""),6217.0)</f>
        <v>6217</v>
      </c>
      <c r="B16" s="11" t="str">
        <f>IFERROR(__xludf.DUMMYFUNCTION("""COMPUTED_VALUE"""),"D")</f>
        <v>D</v>
      </c>
      <c r="C16" s="13" t="str">
        <f>IFERROR(__xludf.DUMMYFUNCTION("""COMPUTED_VALUE"""),"Bisseck")</f>
        <v>Bisseck</v>
      </c>
      <c r="D16" s="11" t="str">
        <f>IFERROR(__xludf.DUMMYFUNCTION("""COMPUTED_VALUE"""),"Inter")</f>
        <v>Inter</v>
      </c>
      <c r="E16" s="15">
        <f>IFERROR(__xludf.DUMMYFUNCTION("""COMPUTED_VALUE"""),22.0)</f>
        <v>22</v>
      </c>
      <c r="F16" s="17">
        <f>IFERROR(__xludf.DUMMYFUNCTION("""COMPUTED_VALUE"""),0.036)</f>
        <v>0.036</v>
      </c>
      <c r="G16" s="15" t="str">
        <f>IFERROR(__xludf.DUMMYFUNCTION("""COMPUTED_VALUE"""),"SEMITOP")</f>
        <v>SEMITOP</v>
      </c>
      <c r="H16" s="11"/>
      <c r="I16" s="15"/>
    </row>
    <row r="17">
      <c r="A17" s="11">
        <f>IFERROR(__xludf.DUMMYFUNCTION("""COMPUTED_VALUE"""),5833.0)</f>
        <v>5833</v>
      </c>
      <c r="B17" s="11" t="str">
        <f>IFERROR(__xludf.DUMMYFUNCTION("""COMPUTED_VALUE"""),"D")</f>
        <v>D</v>
      </c>
      <c r="C17" s="13" t="str">
        <f>IFERROR(__xludf.DUMMYFUNCTION("""COMPUTED_VALUE"""),"Gila")</f>
        <v>Gila</v>
      </c>
      <c r="D17" s="11" t="str">
        <f>IFERROR(__xludf.DUMMYFUNCTION("""COMPUTED_VALUE"""),"Milan")</f>
        <v>Milan</v>
      </c>
      <c r="E17" s="15">
        <f>IFERROR(__xludf.DUMMYFUNCTION("""COMPUTED_VALUE"""),21.0)</f>
        <v>21</v>
      </c>
      <c r="F17" s="17">
        <f>IFERROR(__xludf.DUMMYFUNCTION("""COMPUTED_VALUE"""),0.035)</f>
        <v>0.035</v>
      </c>
      <c r="G17" s="15" t="str">
        <f>IFERROR(__xludf.DUMMYFUNCTION("""COMPUTED_VALUE"""),"SEMITOP")</f>
        <v>SEMITOP</v>
      </c>
      <c r="H17" s="11"/>
      <c r="I17" s="15"/>
    </row>
    <row r="18">
      <c r="A18" s="11">
        <f>IFERROR(__xludf.DUMMYFUNCTION("""COMPUTED_VALUE"""),2514.0)</f>
        <v>2514</v>
      </c>
      <c r="B18" s="11" t="str">
        <f>IFERROR(__xludf.DUMMYFUNCTION("""COMPUTED_VALUE"""),"D")</f>
        <v>D</v>
      </c>
      <c r="C18" s="13" t="str">
        <f>IFERROR(__xludf.DUMMYFUNCTION("""COMPUTED_VALUE"""),"Stones")</f>
        <v>Stones</v>
      </c>
      <c r="D18" s="11" t="str">
        <f>IFERROR(__xludf.DUMMYFUNCTION("""COMPUTED_VALUE"""),"Inter")</f>
        <v>Inter</v>
      </c>
      <c r="E18" s="15">
        <f>IFERROR(__xludf.DUMMYFUNCTION("""COMPUTED_VALUE"""),18.0)</f>
        <v>18</v>
      </c>
      <c r="F18" s="17">
        <f>IFERROR(__xludf.DUMMYFUNCTION("""COMPUTED_VALUE"""),0.03)</f>
        <v>0.03</v>
      </c>
      <c r="G18" s="15" t="str">
        <f>IFERROR(__xludf.DUMMYFUNCTION("""COMPUTED_VALUE"""),"SEMITOP")</f>
        <v>SEMITOP</v>
      </c>
      <c r="H18" s="11"/>
      <c r="I18" s="15"/>
    </row>
    <row r="19">
      <c r="A19" s="11">
        <f>IFERROR(__xludf.DUMMYFUNCTION("""COMPUTED_VALUE"""),5750.0)</f>
        <v>5750</v>
      </c>
      <c r="B19" s="11" t="str">
        <f>IFERROR(__xludf.DUMMYFUNCTION("""COMPUTED_VALUE"""),"D")</f>
        <v>D</v>
      </c>
      <c r="C19" s="13" t="str">
        <f>IFERROR(__xludf.DUMMYFUNCTION("""COMPUTED_VALUE"""),"Ostigard")</f>
        <v>Ostigard</v>
      </c>
      <c r="D19" s="11" t="str">
        <f>IFERROR(__xludf.DUMMYFUNCTION("""COMPUTED_VALUE"""),"Genoa")</f>
        <v>Genoa</v>
      </c>
      <c r="E19" s="15">
        <f>IFERROR(__xludf.DUMMYFUNCTION("""COMPUTED_VALUE"""),18.0)</f>
        <v>18</v>
      </c>
      <c r="F19" s="17">
        <f>IFERROR(__xludf.DUMMYFUNCTION("""COMPUTED_VALUE"""),0.03)</f>
        <v>0.03</v>
      </c>
      <c r="G19" s="15" t="str">
        <f>IFERROR(__xludf.DUMMYFUNCTION("""COMPUTED_VALUE"""),"SEMITOP")</f>
        <v>SEMITOP</v>
      </c>
      <c r="H19" s="11"/>
      <c r="I19" s="15"/>
    </row>
    <row r="20">
      <c r="A20" s="11">
        <f>IFERROR(__xludf.DUMMYFUNCTION("""COMPUTED_VALUE"""),5641.0)</f>
        <v>5641</v>
      </c>
      <c r="B20" s="11" t="str">
        <f>IFERROR(__xludf.DUMMYFUNCTION("""COMPUTED_VALUE"""),"D")</f>
        <v>D</v>
      </c>
      <c r="C20" s="13" t="str">
        <f>IFERROR(__xludf.DUMMYFUNCTION("""COMPUTED_VALUE"""),"Chalobah T.")</f>
        <v>Chalobah T.</v>
      </c>
      <c r="D20" s="11" t="str">
        <f>IFERROR(__xludf.DUMMYFUNCTION("""COMPUTED_VALUE"""),"Como")</f>
        <v>Como</v>
      </c>
      <c r="E20" s="15">
        <f>IFERROR(__xludf.DUMMYFUNCTION("""COMPUTED_VALUE"""),18.0)</f>
        <v>18</v>
      </c>
      <c r="F20" s="17">
        <f>IFERROR(__xludf.DUMMYFUNCTION("""COMPUTED_VALUE"""),0.03)</f>
        <v>0.03</v>
      </c>
      <c r="G20" s="15" t="str">
        <f>IFERROR(__xludf.DUMMYFUNCTION("""COMPUTED_VALUE"""),"SEMITOP")</f>
        <v>SEMITOP</v>
      </c>
      <c r="H20" s="11"/>
      <c r="I20" s="15"/>
    </row>
    <row r="21">
      <c r="A21" s="11">
        <f>IFERROR(__xludf.DUMMYFUNCTION("""COMPUTED_VALUE"""),5982.0)</f>
        <v>5982</v>
      </c>
      <c r="B21" s="11" t="str">
        <f>IFERROR(__xludf.DUMMYFUNCTION("""COMPUTED_VALUE"""),"D")</f>
        <v>D</v>
      </c>
      <c r="C21" s="13" t="str">
        <f>IFERROR(__xludf.DUMMYFUNCTION("""COMPUTED_VALUE"""),"Spence")</f>
        <v>Spence</v>
      </c>
      <c r="D21" s="11" t="str">
        <f>IFERROR(__xludf.DUMMYFUNCTION("""COMPUTED_VALUE"""),"Inter")</f>
        <v>Inter</v>
      </c>
      <c r="E21" s="15">
        <f>IFERROR(__xludf.DUMMYFUNCTION("""COMPUTED_VALUE"""),22.0)</f>
        <v>22</v>
      </c>
      <c r="F21" s="17">
        <f>IFERROR(__xludf.DUMMYFUNCTION("""COMPUTED_VALUE"""),0.037)</f>
        <v>0.037</v>
      </c>
      <c r="G21" s="15" t="str">
        <f>IFERROR(__xludf.DUMMYFUNCTION("""COMPUTED_VALUE"""),"TERZO-SLOT")</f>
        <v>TERZO-SLOT</v>
      </c>
      <c r="H21" s="11"/>
      <c r="I21" s="15"/>
    </row>
    <row r="22">
      <c r="A22" s="11">
        <f>IFERROR(__xludf.DUMMYFUNCTION("""COMPUTED_VALUE"""),4807.0)</f>
        <v>4807</v>
      </c>
      <c r="B22" s="11" t="str">
        <f>IFERROR(__xludf.DUMMYFUNCTION("""COMPUTED_VALUE"""),"D")</f>
        <v>D</v>
      </c>
      <c r="C22" s="13" t="str">
        <f>IFERROR(__xludf.DUMMYFUNCTION("""COMPUTED_VALUE"""),"Hermoso")</f>
        <v>Hermoso</v>
      </c>
      <c r="D22" s="11" t="str">
        <f>IFERROR(__xludf.DUMMYFUNCTION("""COMPUTED_VALUE"""),"Roma")</f>
        <v>Roma</v>
      </c>
      <c r="E22" s="15">
        <f>IFERROR(__xludf.DUMMYFUNCTION("""COMPUTED_VALUE"""),18.0)</f>
        <v>18</v>
      </c>
      <c r="F22" s="17">
        <f>IFERROR(__xludf.DUMMYFUNCTION("""COMPUTED_VALUE"""),0.03)</f>
        <v>0.03</v>
      </c>
      <c r="G22" s="15" t="str">
        <f>IFERROR(__xludf.DUMMYFUNCTION("""COMPUTED_VALUE"""),"TERZO-SLOT")</f>
        <v>TERZO-SLOT</v>
      </c>
      <c r="H22" s="11" t="str">
        <f>IFERROR(__xludf.DUMMYFUNCTION("""COMPUTED_VALUE"""),"⭐")</f>
        <v>⭐</v>
      </c>
      <c r="I22" s="15"/>
    </row>
    <row r="23">
      <c r="A23" s="11">
        <f>IFERROR(__xludf.DUMMYFUNCTION("""COMPUTED_VALUE"""),4994.0)</f>
        <v>4994</v>
      </c>
      <c r="B23" s="11" t="str">
        <f>IFERROR(__xludf.DUMMYFUNCTION("""COMPUTED_VALUE"""),"D")</f>
        <v>D</v>
      </c>
      <c r="C23" s="13" t="str">
        <f>IFERROR(__xludf.DUMMYFUNCTION("""COMPUTED_VALUE"""),"Vojvoda")</f>
        <v>Vojvoda</v>
      </c>
      <c r="D23" s="11" t="str">
        <f>IFERROR(__xludf.DUMMYFUNCTION("""COMPUTED_VALUE"""),"Udinese")</f>
        <v>Udinese</v>
      </c>
      <c r="E23" s="15">
        <f>IFERROR(__xludf.DUMMYFUNCTION("""COMPUTED_VALUE"""),18.0)</f>
        <v>18</v>
      </c>
      <c r="F23" s="17">
        <f>IFERROR(__xludf.DUMMYFUNCTION("""COMPUTED_VALUE"""),0.03)</f>
        <v>0.03</v>
      </c>
      <c r="G23" s="15" t="str">
        <f>IFERROR(__xludf.DUMMYFUNCTION("""COMPUTED_VALUE"""),"TERZO-SLOT")</f>
        <v>TERZO-SLOT</v>
      </c>
      <c r="H23" s="11"/>
      <c r="I23" s="15"/>
    </row>
    <row r="24">
      <c r="A24" s="11">
        <f>IFERROR(__xludf.DUMMYFUNCTION("""COMPUTED_VALUE"""),5555.0)</f>
        <v>5555</v>
      </c>
      <c r="B24" s="11" t="str">
        <f>IFERROR(__xludf.DUMMYFUNCTION("""COMPUTED_VALUE"""),"D")</f>
        <v>D</v>
      </c>
      <c r="C24" s="13" t="str">
        <f>IFERROR(__xludf.DUMMYFUNCTION("""COMPUTED_VALUE"""),"Kamara H.")</f>
        <v>Kamara H.</v>
      </c>
      <c r="D24" s="11" t="str">
        <f>IFERROR(__xludf.DUMMYFUNCTION("""COMPUTED_VALUE"""),"Udinese")</f>
        <v>Udinese</v>
      </c>
      <c r="E24" s="15">
        <f>IFERROR(__xludf.DUMMYFUNCTION("""COMPUTED_VALUE"""),18.0)</f>
        <v>18</v>
      </c>
      <c r="F24" s="17">
        <f>IFERROR(__xludf.DUMMYFUNCTION("""COMPUTED_VALUE"""),0.03)</f>
        <v>0.03</v>
      </c>
      <c r="G24" s="15" t="str">
        <f>IFERROR(__xludf.DUMMYFUNCTION("""COMPUTED_VALUE"""),"TERZO-SLOT")</f>
        <v>TERZO-SLOT</v>
      </c>
      <c r="H24" s="11"/>
      <c r="I24" s="15"/>
    </row>
    <row r="25">
      <c r="A25" s="11">
        <f>IFERROR(__xludf.DUMMYFUNCTION("""COMPUTED_VALUE"""),554.0)</f>
        <v>554</v>
      </c>
      <c r="B25" s="11" t="str">
        <f>IFERROR(__xludf.DUMMYFUNCTION("""COMPUTED_VALUE"""),"D")</f>
        <v>D</v>
      </c>
      <c r="C25" s="11" t="str">
        <f>IFERROR(__xludf.DUMMYFUNCTION("""COMPUTED_VALUE"""),"Zappacosta")</f>
        <v>Zappacosta</v>
      </c>
      <c r="D25" s="11" t="str">
        <f>IFERROR(__xludf.DUMMYFUNCTION("""COMPUTED_VALUE"""),"Atalanta")</f>
        <v>Atalanta</v>
      </c>
      <c r="E25" s="15">
        <f>IFERROR(__xludf.DUMMYFUNCTION("""COMPUTED_VALUE"""),16.0)</f>
        <v>16</v>
      </c>
      <c r="F25" s="17">
        <f>IFERROR(__xludf.DUMMYFUNCTION("""COMPUTED_VALUE"""),0.026)</f>
        <v>0.026</v>
      </c>
      <c r="G25" s="15" t="str">
        <f>IFERROR(__xludf.DUMMYFUNCTION("""COMPUTED_VALUE"""),"TERZO-SLOT")</f>
        <v>TERZO-SLOT</v>
      </c>
      <c r="H25" s="11"/>
      <c r="I25" s="15"/>
    </row>
    <row r="26">
      <c r="A26" s="11">
        <f>IFERROR(__xludf.DUMMYFUNCTION("""COMPUTED_VALUE"""),5526.0)</f>
        <v>5526</v>
      </c>
      <c r="B26" s="11" t="str">
        <f>IFERROR(__xludf.DUMMYFUNCTION("""COMPUTED_VALUE"""),"D")</f>
        <v>D</v>
      </c>
      <c r="C26" s="11" t="str">
        <f>IFERROR(__xludf.DUMMYFUNCTION("""COMPUTED_VALUE"""),"Scalvini")</f>
        <v>Scalvini</v>
      </c>
      <c r="D26" s="11" t="str">
        <f>IFERROR(__xludf.DUMMYFUNCTION("""COMPUTED_VALUE"""),"Atalanta")</f>
        <v>Atalanta</v>
      </c>
      <c r="E26" s="15">
        <f>IFERROR(__xludf.DUMMYFUNCTION("""COMPUTED_VALUE"""),15.0)</f>
        <v>15</v>
      </c>
      <c r="F26" s="17">
        <f>IFERROR(__xludf.DUMMYFUNCTION("""COMPUTED_VALUE"""),0.025)</f>
        <v>0.025</v>
      </c>
      <c r="G26" s="15" t="str">
        <f>IFERROR(__xludf.DUMMYFUNCTION("""COMPUTED_VALUE"""),"TERZO-SLOT")</f>
        <v>TERZO-SLOT</v>
      </c>
      <c r="H26" s="11"/>
      <c r="I26" s="15"/>
    </row>
    <row r="27">
      <c r="A27" s="11">
        <f>IFERROR(__xludf.DUMMYFUNCTION("""COMPUTED_VALUE"""),5520.0)</f>
        <v>5520</v>
      </c>
      <c r="B27" s="11" t="str">
        <f>IFERROR(__xludf.DUMMYFUNCTION("""COMPUTED_VALUE"""),"D")</f>
        <v>D</v>
      </c>
      <c r="C27" s="11" t="str">
        <f>IFERROR(__xludf.DUMMYFUNCTION("""COMPUTED_VALUE"""),"Cambiaso")</f>
        <v>Cambiaso</v>
      </c>
      <c r="D27" s="11" t="str">
        <f>IFERROR(__xludf.DUMMYFUNCTION("""COMPUTED_VALUE"""),"Juventus")</f>
        <v>Juventus</v>
      </c>
      <c r="E27" s="15">
        <f>IFERROR(__xludf.DUMMYFUNCTION("""COMPUTED_VALUE"""),12.0)</f>
        <v>12</v>
      </c>
      <c r="F27" s="17">
        <f>IFERROR(__xludf.DUMMYFUNCTION("""COMPUTED_VALUE"""),0.02)</f>
        <v>0.02</v>
      </c>
      <c r="G27" s="15" t="str">
        <f>IFERROR(__xludf.DUMMYFUNCTION("""COMPUTED_VALUE"""),"TERZO-SLOT")</f>
        <v>TERZO-SLOT</v>
      </c>
      <c r="H27" s="11"/>
      <c r="I27" s="15"/>
    </row>
    <row r="28">
      <c r="A28" s="11">
        <f>IFERROR(__xludf.DUMMYFUNCTION("""COMPUTED_VALUE"""),1852.0)</f>
        <v>1852</v>
      </c>
      <c r="B28" s="11" t="str">
        <f>IFERROR(__xludf.DUMMYFUNCTION("""COMPUTED_VALUE"""),"D")</f>
        <v>D</v>
      </c>
      <c r="C28" s="11" t="str">
        <f>IFERROR(__xludf.DUMMYFUNCTION("""COMPUTED_VALUE"""),"Spinazzola")</f>
        <v>Spinazzola</v>
      </c>
      <c r="D28" s="11" t="str">
        <f>IFERROR(__xludf.DUMMYFUNCTION("""COMPUTED_VALUE"""),"Napoli")</f>
        <v>Napoli</v>
      </c>
      <c r="E28" s="15">
        <f>IFERROR(__xludf.DUMMYFUNCTION("""COMPUTED_VALUE"""),12.0)</f>
        <v>12</v>
      </c>
      <c r="F28" s="17">
        <f>IFERROR(__xludf.DUMMYFUNCTION("""COMPUTED_VALUE"""),0.02)</f>
        <v>0.02</v>
      </c>
      <c r="G28" s="15" t="str">
        <f>IFERROR(__xludf.DUMMYFUNCTION("""COMPUTED_VALUE"""),"TERZO-SLOT")</f>
        <v>TERZO-SLOT</v>
      </c>
      <c r="H28" s="11"/>
      <c r="I28" s="15"/>
    </row>
    <row r="29">
      <c r="A29" s="11">
        <f>IFERROR(__xludf.DUMMYFUNCTION("""COMPUTED_VALUE"""),5365.0)</f>
        <v>5365</v>
      </c>
      <c r="B29" s="11" t="str">
        <f>IFERROR(__xludf.DUMMYFUNCTION("""COMPUTED_VALUE"""),"D")</f>
        <v>D</v>
      </c>
      <c r="C29" s="11" t="str">
        <f>IFERROR(__xludf.DUMMYFUNCTION("""COMPUTED_VALUE"""),"Dragusin")</f>
        <v>Dragusin</v>
      </c>
      <c r="D29" s="11" t="str">
        <f>IFERROR(__xludf.DUMMYFUNCTION("""COMPUTED_VALUE"""),"Fiorentina")</f>
        <v>Fiorentina</v>
      </c>
      <c r="E29" s="15">
        <f>IFERROR(__xludf.DUMMYFUNCTION("""COMPUTED_VALUE"""),12.0)</f>
        <v>12</v>
      </c>
      <c r="F29" s="17">
        <f>IFERROR(__xludf.DUMMYFUNCTION("""COMPUTED_VALUE"""),0.02)</f>
        <v>0.02</v>
      </c>
      <c r="G29" s="15" t="str">
        <f>IFERROR(__xludf.DUMMYFUNCTION("""COMPUTED_VALUE"""),"TERZO-SLOT")</f>
        <v>TERZO-SLOT</v>
      </c>
      <c r="H29" s="11"/>
      <c r="I29" s="15"/>
    </row>
    <row r="30">
      <c r="A30" s="11">
        <f>IFERROR(__xludf.DUMMYFUNCTION("""COMPUTED_VALUE"""),6531.0)</f>
        <v>6531</v>
      </c>
      <c r="B30" s="11" t="str">
        <f>IFERROR(__xludf.DUMMYFUNCTION("""COMPUTED_VALUE"""),"D")</f>
        <v>D</v>
      </c>
      <c r="C30" s="13" t="str">
        <f>IFERROR(__xludf.DUMMYFUNCTION("""COMPUTED_VALUE"""),"Jimenez A.")</f>
        <v>Jimenez A.</v>
      </c>
      <c r="D30" s="11" t="str">
        <f>IFERROR(__xludf.DUMMYFUNCTION("""COMPUTED_VALUE"""),"Fiorentina")</f>
        <v>Fiorentina</v>
      </c>
      <c r="E30" s="15">
        <f>IFERROR(__xludf.DUMMYFUNCTION("""COMPUTED_VALUE"""),12.0)</f>
        <v>12</v>
      </c>
      <c r="F30" s="17">
        <f>IFERROR(__xludf.DUMMYFUNCTION("""COMPUTED_VALUE"""),0.02)</f>
        <v>0.02</v>
      </c>
      <c r="G30" s="15" t="str">
        <f>IFERROR(__xludf.DUMMYFUNCTION("""COMPUTED_VALUE"""),"TERZO-SLOT")</f>
        <v>TERZO-SLOT</v>
      </c>
      <c r="H30" s="11"/>
      <c r="I30" s="15"/>
    </row>
    <row r="31">
      <c r="A31" s="11">
        <f>IFERROR(__xludf.DUMMYFUNCTION("""COMPUTED_VALUE"""),5620.0)</f>
        <v>5620</v>
      </c>
      <c r="B31" s="11" t="str">
        <f>IFERROR(__xludf.DUMMYFUNCTION("""COMPUTED_VALUE"""),"D")</f>
        <v>D</v>
      </c>
      <c r="C31" s="13" t="str">
        <f>IFERROR(__xludf.DUMMYFUNCTION("""COMPUTED_VALUE"""),"Tavares N.")</f>
        <v>Tavares N.</v>
      </c>
      <c r="D31" s="11" t="str">
        <f>IFERROR(__xludf.DUMMYFUNCTION("""COMPUTED_VALUE"""),"Lazio")</f>
        <v>Lazio</v>
      </c>
      <c r="E31" s="15">
        <f>IFERROR(__xludf.DUMMYFUNCTION("""COMPUTED_VALUE"""),12.0)</f>
        <v>12</v>
      </c>
      <c r="F31" s="17">
        <f>IFERROR(__xludf.DUMMYFUNCTION("""COMPUTED_VALUE"""),0.02)</f>
        <v>0.02</v>
      </c>
      <c r="G31" s="15" t="str">
        <f>IFERROR(__xludf.DUMMYFUNCTION("""COMPUTED_VALUE"""),"TERZO-SLOT")</f>
        <v>TERZO-SLOT</v>
      </c>
      <c r="H31" s="11"/>
      <c r="I31" s="15"/>
    </row>
    <row r="32">
      <c r="A32" s="11">
        <f>IFERROR(__xludf.DUMMYFUNCTION("""COMPUTED_VALUE"""),7294.0)</f>
        <v>7294</v>
      </c>
      <c r="B32" s="11" t="str">
        <f>IFERROR(__xludf.DUMMYFUNCTION("""COMPUTED_VALUE"""),"D")</f>
        <v>D</v>
      </c>
      <c r="C32" s="13" t="str">
        <f>IFERROR(__xludf.DUMMYFUNCTION("""COMPUTED_VALUE"""),"Valdepenas")</f>
        <v>Valdepenas</v>
      </c>
      <c r="D32" s="11" t="str">
        <f>IFERROR(__xludf.DUMMYFUNCTION("""COMPUTED_VALUE"""),"Fiorentina")</f>
        <v>Fiorentina</v>
      </c>
      <c r="E32" s="15">
        <f>IFERROR(__xludf.DUMMYFUNCTION("""COMPUTED_VALUE"""),12.0)</f>
        <v>12</v>
      </c>
      <c r="F32" s="17">
        <f>IFERROR(__xludf.DUMMYFUNCTION("""COMPUTED_VALUE"""),0.02)</f>
        <v>0.02</v>
      </c>
      <c r="G32" s="15" t="str">
        <f>IFERROR(__xludf.DUMMYFUNCTION("""COMPUTED_VALUE"""),"QUARTO-SLOT")</f>
        <v>QUARTO-SLOT</v>
      </c>
      <c r="H32" s="11"/>
      <c r="I32" s="15"/>
    </row>
    <row r="33">
      <c r="A33" s="11">
        <f>IFERROR(__xludf.DUMMYFUNCTION("""COMPUTED_VALUE"""),5862.0)</f>
        <v>5862</v>
      </c>
      <c r="B33" s="11" t="str">
        <f>IFERROR(__xludf.DUMMYFUNCTION("""COMPUTED_VALUE"""),"D")</f>
        <v>D</v>
      </c>
      <c r="C33" s="11" t="str">
        <f>IFERROR(__xludf.DUMMYFUNCTION("""COMPUTED_VALUE"""),"Valeri")</f>
        <v>Valeri</v>
      </c>
      <c r="D33" s="11" t="str">
        <f>IFERROR(__xludf.DUMMYFUNCTION("""COMPUTED_VALUE"""),"Parma")</f>
        <v>Parma</v>
      </c>
      <c r="E33" s="15">
        <f>IFERROR(__xludf.DUMMYFUNCTION("""COMPUTED_VALUE"""),10.0)</f>
        <v>10</v>
      </c>
      <c r="F33" s="17">
        <f>IFERROR(__xludf.DUMMYFUNCTION("""COMPUTED_VALUE"""),0.016)</f>
        <v>0.016</v>
      </c>
      <c r="G33" s="15" t="str">
        <f>IFERROR(__xludf.DUMMYFUNCTION("""COMPUTED_VALUE"""),"QUARTO-SLOT")</f>
        <v>QUARTO-SLOT</v>
      </c>
      <c r="H33" s="11"/>
      <c r="I33" s="15"/>
    </row>
    <row r="34">
      <c r="A34" s="11">
        <f>IFERROR(__xludf.DUMMYFUNCTION("""COMPUTED_VALUE"""),6042.0)</f>
        <v>6042</v>
      </c>
      <c r="B34" s="11" t="str">
        <f>IFERROR(__xludf.DUMMYFUNCTION("""COMPUTED_VALUE"""),"D")</f>
        <v>D</v>
      </c>
      <c r="C34" s="13" t="str">
        <f>IFERROR(__xludf.DUMMYFUNCTION("""COMPUTED_VALUE"""),"Lucumì")</f>
        <v>Lucumì</v>
      </c>
      <c r="D34" s="11" t="str">
        <f>IFERROR(__xludf.DUMMYFUNCTION("""COMPUTED_VALUE"""),"Juventus")</f>
        <v>Juventus</v>
      </c>
      <c r="E34" s="15">
        <f>IFERROR(__xludf.DUMMYFUNCTION("""COMPUTED_VALUE"""),10.0)</f>
        <v>10</v>
      </c>
      <c r="F34" s="17">
        <f>IFERROR(__xludf.DUMMYFUNCTION("""COMPUTED_VALUE"""),0.017)</f>
        <v>0.017</v>
      </c>
      <c r="G34" s="15" t="str">
        <f>IFERROR(__xludf.DUMMYFUNCTION("""COMPUTED_VALUE"""),"QUARTO-SLOT")</f>
        <v>QUARTO-SLOT</v>
      </c>
      <c r="H34" s="11"/>
      <c r="I34" s="15"/>
    </row>
    <row r="35">
      <c r="A35" s="11">
        <f>IFERROR(__xludf.DUMMYFUNCTION("""COMPUTED_VALUE"""),7599.0)</f>
        <v>7599</v>
      </c>
      <c r="B35" s="11" t="str">
        <f>IFERROR(__xludf.DUMMYFUNCTION("""COMPUTED_VALUE"""),"D")</f>
        <v>D</v>
      </c>
      <c r="C35" s="13" t="str">
        <f>IFERROR(__xludf.DUMMYFUNCTION("""COMPUTED_VALUE"""),"Lulli")</f>
        <v>Lulli</v>
      </c>
      <c r="D35" s="11" t="str">
        <f>IFERROR(__xludf.DUMMYFUNCTION("""COMPUTED_VALUE"""),"Roma")</f>
        <v>Roma</v>
      </c>
      <c r="E35" s="15">
        <f>IFERROR(__xludf.DUMMYFUNCTION("""COMPUTED_VALUE"""),10.0)</f>
        <v>10</v>
      </c>
      <c r="F35" s="17">
        <f>IFERROR(__xludf.DUMMYFUNCTION("""COMPUTED_VALUE"""),0.016)</f>
        <v>0.016</v>
      </c>
      <c r="G35" s="15" t="str">
        <f>IFERROR(__xludf.DUMMYFUNCTION("""COMPUTED_VALUE"""),"QUARTO-SLOT")</f>
        <v>QUARTO-SLOT</v>
      </c>
      <c r="H35" s="11" t="str">
        <f>IFERROR(__xludf.DUMMYFUNCTION("""COMPUTED_VALUE"""),"⭐")</f>
        <v>⭐</v>
      </c>
      <c r="I35" s="15"/>
      <c r="K35" s="21">
        <v>10.0</v>
      </c>
    </row>
    <row r="36">
      <c r="A36" s="11">
        <f>IFERROR(__xludf.DUMMYFUNCTION("""COMPUTED_VALUE"""),6664.0)</f>
        <v>6664</v>
      </c>
      <c r="B36" s="11" t="str">
        <f>IFERROR(__xludf.DUMMYFUNCTION("""COMPUTED_VALUE"""),"D")</f>
        <v>D</v>
      </c>
      <c r="C36" s="13" t="str">
        <f>IFERROR(__xludf.DUMMYFUNCTION("""COMPUTED_VALUE"""),"Delprato")</f>
        <v>Delprato</v>
      </c>
      <c r="D36" s="11" t="str">
        <f>IFERROR(__xludf.DUMMYFUNCTION("""COMPUTED_VALUE"""),"Parma")</f>
        <v>Parma</v>
      </c>
      <c r="E36" s="15">
        <f>IFERROR(__xludf.DUMMYFUNCTION("""COMPUTED_VALUE"""),9.0)</f>
        <v>9</v>
      </c>
      <c r="F36" s="17">
        <f>IFERROR(__xludf.DUMMYFUNCTION("""COMPUTED_VALUE"""),0.015)</f>
        <v>0.015</v>
      </c>
      <c r="G36" s="15" t="str">
        <f>IFERROR(__xludf.DUMMYFUNCTION("""COMPUTED_VALUE"""),"QUARTO-SLOT")</f>
        <v>QUARTO-SLOT</v>
      </c>
      <c r="H36" s="11"/>
      <c r="I36" s="15"/>
    </row>
    <row r="37">
      <c r="A37" s="11">
        <f>IFERROR(__xludf.DUMMYFUNCTION("""COMPUTED_VALUE"""),6989.0)</f>
        <v>6989</v>
      </c>
      <c r="B37" s="11" t="str">
        <f>IFERROR(__xludf.DUMMYFUNCTION("""COMPUTED_VALUE"""),"D")</f>
        <v>D</v>
      </c>
      <c r="C37" s="11" t="str">
        <f>IFERROR(__xludf.DUMMYFUNCTION("""COMPUTED_VALUE"""),"Tiago Gabriel")</f>
        <v>Tiago Gabriel</v>
      </c>
      <c r="D37" s="11" t="str">
        <f>IFERROR(__xludf.DUMMYFUNCTION("""COMPUTED_VALUE"""),"Lecce")</f>
        <v>Lecce</v>
      </c>
      <c r="E37" s="15">
        <f>IFERROR(__xludf.DUMMYFUNCTION("""COMPUTED_VALUE"""),7.0)</f>
        <v>7</v>
      </c>
      <c r="F37" s="17">
        <f>IFERROR(__xludf.DUMMYFUNCTION("""COMPUTED_VALUE"""),0.012)</f>
        <v>0.012</v>
      </c>
      <c r="G37" s="15" t="str">
        <f>IFERROR(__xludf.DUMMYFUNCTION("""COMPUTED_VALUE"""),"QUARTO-SLOT")</f>
        <v>QUARTO-SLOT</v>
      </c>
      <c r="H37" s="11"/>
      <c r="I37" s="15"/>
    </row>
    <row r="38">
      <c r="A38" s="11">
        <f>IFERROR(__xludf.DUMMYFUNCTION("""COMPUTED_VALUE"""),6766.0)</f>
        <v>6766</v>
      </c>
      <c r="B38" s="11" t="str">
        <f>IFERROR(__xludf.DUMMYFUNCTION("""COMPUTED_VALUE"""),"D")</f>
        <v>D</v>
      </c>
      <c r="C38" s="11" t="str">
        <f>IFERROR(__xludf.DUMMYFUNCTION("""COMPUTED_VALUE"""),"Kelly L.")</f>
        <v>Kelly L.</v>
      </c>
      <c r="D38" s="11" t="str">
        <f>IFERROR(__xludf.DUMMYFUNCTION("""COMPUTED_VALUE"""),"Juventus")</f>
        <v>Juventus</v>
      </c>
      <c r="E38" s="15">
        <f>IFERROR(__xludf.DUMMYFUNCTION("""COMPUTED_VALUE"""),7.0)</f>
        <v>7</v>
      </c>
      <c r="F38" s="17">
        <f>IFERROR(__xludf.DUMMYFUNCTION("""COMPUTED_VALUE"""),0.012)</f>
        <v>0.012</v>
      </c>
      <c r="G38" s="15" t="str">
        <f>IFERROR(__xludf.DUMMYFUNCTION("""COMPUTED_VALUE"""),"QUARTO-SLOT")</f>
        <v>QUARTO-SLOT</v>
      </c>
      <c r="H38" s="11"/>
      <c r="I38" s="15"/>
    </row>
    <row r="39">
      <c r="A39" s="11">
        <f>IFERROR(__xludf.DUMMYFUNCTION("""COMPUTED_VALUE"""),5885.0)</f>
        <v>5885</v>
      </c>
      <c r="B39" s="11" t="str">
        <f>IFERROR(__xludf.DUMMYFUNCTION("""COMPUTED_VALUE"""),"D")</f>
        <v>D</v>
      </c>
      <c r="C39" s="11" t="str">
        <f>IFERROR(__xludf.DUMMYFUNCTION("""COMPUTED_VALUE"""),"Dodò")</f>
        <v>Dodò</v>
      </c>
      <c r="D39" s="11" t="str">
        <f>IFERROR(__xludf.DUMMYFUNCTION("""COMPUTED_VALUE"""),"Fiorentina")</f>
        <v>Fiorentina</v>
      </c>
      <c r="E39" s="15">
        <f>IFERROR(__xludf.DUMMYFUNCTION("""COMPUTED_VALUE"""),6.0)</f>
        <v>6</v>
      </c>
      <c r="F39" s="17">
        <f>IFERROR(__xludf.DUMMYFUNCTION("""COMPUTED_VALUE"""),0.01)</f>
        <v>0.01</v>
      </c>
      <c r="G39" s="15" t="str">
        <f>IFERROR(__xludf.DUMMYFUNCTION("""COMPUTED_VALUE"""),"QUARTO-SLOT")</f>
        <v>QUARTO-SLOT</v>
      </c>
      <c r="H39" s="11"/>
      <c r="I39" s="15"/>
    </row>
    <row r="40">
      <c r="A40" s="11">
        <f>IFERROR(__xludf.DUMMYFUNCTION("""COMPUTED_VALUE"""),4657.0)</f>
        <v>4657</v>
      </c>
      <c r="B40" s="11" t="str">
        <f>IFERROR(__xludf.DUMMYFUNCTION("""COMPUTED_VALUE"""),"D")</f>
        <v>D</v>
      </c>
      <c r="C40" s="13" t="str">
        <f>IFERROR(__xludf.DUMMYFUNCTION("""COMPUTED_VALUE"""),"Celik")</f>
        <v>Celik</v>
      </c>
      <c r="D40" s="11" t="str">
        <f>IFERROR(__xludf.DUMMYFUNCTION("""COMPUTED_VALUE"""),"Juventus")</f>
        <v>Juventus</v>
      </c>
      <c r="E40" s="15">
        <f>IFERROR(__xludf.DUMMYFUNCTION("""COMPUTED_VALUE"""),6.0)</f>
        <v>6</v>
      </c>
      <c r="F40" s="17">
        <f>IFERROR(__xludf.DUMMYFUNCTION("""COMPUTED_VALUE"""),0.01)</f>
        <v>0.01</v>
      </c>
      <c r="G40" s="15" t="str">
        <f>IFERROR(__xludf.DUMMYFUNCTION("""COMPUTED_VALUE"""),"QUARTO-SLOT")</f>
        <v>QUARTO-SLOT</v>
      </c>
      <c r="H40" s="11"/>
      <c r="I40" s="15"/>
    </row>
    <row r="41">
      <c r="A41" s="11">
        <f>IFERROR(__xludf.DUMMYFUNCTION("""COMPUTED_VALUE"""),6496.0)</f>
        <v>6496</v>
      </c>
      <c r="B41" s="11" t="str">
        <f>IFERROR(__xludf.DUMMYFUNCTION("""COMPUTED_VALUE"""),"D")</f>
        <v>D</v>
      </c>
      <c r="C41" s="13" t="str">
        <f>IFERROR(__xludf.DUMMYFUNCTION("""COMPUTED_VALUE"""),"Bartesaghi")</f>
        <v>Bartesaghi</v>
      </c>
      <c r="D41" s="11" t="str">
        <f>IFERROR(__xludf.DUMMYFUNCTION("""COMPUTED_VALUE"""),"Milan")</f>
        <v>Milan</v>
      </c>
      <c r="E41" s="15">
        <f>IFERROR(__xludf.DUMMYFUNCTION("""COMPUTED_VALUE"""),6.0)</f>
        <v>6</v>
      </c>
      <c r="F41" s="17">
        <f>IFERROR(__xludf.DUMMYFUNCTION("""COMPUTED_VALUE"""),0.01)</f>
        <v>0.01</v>
      </c>
      <c r="G41" s="15" t="str">
        <f>IFERROR(__xludf.DUMMYFUNCTION("""COMPUTED_VALUE"""),"QUARTO-SLOT")</f>
        <v>QUARTO-SLOT</v>
      </c>
      <c r="H41" s="11"/>
      <c r="I41" s="15"/>
    </row>
    <row r="42">
      <c r="A42" s="11">
        <f>IFERROR(__xludf.DUMMYFUNCTION("""COMPUTED_VALUE"""),6727.0)</f>
        <v>6727</v>
      </c>
      <c r="B42" s="11" t="str">
        <f>IFERROR(__xludf.DUMMYFUNCTION("""COMPUTED_VALUE"""),"D")</f>
        <v>D</v>
      </c>
      <c r="C42" s="11" t="str">
        <f>IFERROR(__xludf.DUMMYFUNCTION("""COMPUTED_VALUE"""),"Couto")</f>
        <v>Couto</v>
      </c>
      <c r="D42" s="11" t="str">
        <f>IFERROR(__xludf.DUMMYFUNCTION("""COMPUTED_VALUE"""),"Como")</f>
        <v>Como</v>
      </c>
      <c r="E42" s="15">
        <f>IFERROR(__xludf.DUMMYFUNCTION("""COMPUTED_VALUE"""),6.0)</f>
        <v>6</v>
      </c>
      <c r="F42" s="17">
        <f>IFERROR(__xludf.DUMMYFUNCTION("""COMPUTED_VALUE"""),0.01)</f>
        <v>0.01</v>
      </c>
      <c r="G42" s="15" t="str">
        <f>IFERROR(__xludf.DUMMYFUNCTION("""COMPUTED_VALUE"""),"QUARTO-SLOT")</f>
        <v>QUARTO-SLOT</v>
      </c>
      <c r="H42" s="11"/>
      <c r="I42" s="15"/>
    </row>
    <row r="43">
      <c r="A43" s="11">
        <f>IFERROR(__xludf.DUMMYFUNCTION("""COMPUTED_VALUE"""),5514.0)</f>
        <v>5514</v>
      </c>
      <c r="B43" s="11" t="str">
        <f>IFERROR(__xludf.DUMMYFUNCTION("""COMPUTED_VALUE"""),"D")</f>
        <v>D</v>
      </c>
      <c r="C43" s="11" t="str">
        <f>IFERROR(__xludf.DUMMYFUNCTION("""COMPUTED_VALUE"""),"Vasquez")</f>
        <v>Vasquez</v>
      </c>
      <c r="D43" s="11" t="str">
        <f>IFERROR(__xludf.DUMMYFUNCTION("""COMPUTED_VALUE"""),"Genoa")</f>
        <v>Genoa</v>
      </c>
      <c r="E43" s="15">
        <f>IFERROR(__xludf.DUMMYFUNCTION("""COMPUTED_VALUE"""),18.0)</f>
        <v>18</v>
      </c>
      <c r="F43" s="17">
        <f>IFERROR(__xludf.DUMMYFUNCTION("""COMPUTED_VALUE"""),0.03)</f>
        <v>0.03</v>
      </c>
      <c r="G43" s="15" t="str">
        <f>IFERROR(__xludf.DUMMYFUNCTION("""COMPUTED_VALUE"""),"SCOMMESSE")</f>
        <v>SCOMMESSE</v>
      </c>
      <c r="H43" s="11"/>
      <c r="I43" s="15"/>
    </row>
    <row r="44">
      <c r="A44" s="11">
        <f>IFERROR(__xludf.DUMMYFUNCTION("""COMPUTED_VALUE"""),5877.0)</f>
        <v>5877</v>
      </c>
      <c r="B44" s="11" t="str">
        <f>IFERROR(__xludf.DUMMYFUNCTION("""COMPUTED_VALUE"""),"D")</f>
        <v>D</v>
      </c>
      <c r="C44" s="13" t="str">
        <f>IFERROR(__xludf.DUMMYFUNCTION("""COMPUTED_VALUE"""),"Carlos Augusto")</f>
        <v>Carlos Augusto</v>
      </c>
      <c r="D44" s="11" t="str">
        <f>IFERROR(__xludf.DUMMYFUNCTION("""COMPUTED_VALUE"""),"Inter")</f>
        <v>Inter</v>
      </c>
      <c r="E44" s="15">
        <f>IFERROR(__xludf.DUMMYFUNCTION("""COMPUTED_VALUE"""),12.0)</f>
        <v>12</v>
      </c>
      <c r="F44" s="17">
        <f>IFERROR(__xludf.DUMMYFUNCTION("""COMPUTED_VALUE"""),0.02)</f>
        <v>0.02</v>
      </c>
      <c r="G44" s="15" t="str">
        <f>IFERROR(__xludf.DUMMYFUNCTION("""COMPUTED_VALUE"""),"SCOMMESSE")</f>
        <v>SCOMMESSE</v>
      </c>
      <c r="H44" s="11"/>
      <c r="I44" s="15"/>
    </row>
    <row r="45">
      <c r="A45" s="11">
        <f>IFERROR(__xludf.DUMMYFUNCTION("""COMPUTED_VALUE"""),7529.0)</f>
        <v>7529</v>
      </c>
      <c r="B45" s="11" t="str">
        <f>IFERROR(__xludf.DUMMYFUNCTION("""COMPUTED_VALUE"""),"D")</f>
        <v>D</v>
      </c>
      <c r="C45" s="13" t="str">
        <f>IFERROR(__xludf.DUMMYFUNCTION("""COMPUTED_VALUE"""),"Koulierakis")</f>
        <v>Koulierakis</v>
      </c>
      <c r="D45" s="11" t="str">
        <f>IFERROR(__xludf.DUMMYFUNCTION("""COMPUTED_VALUE"""),"Roma")</f>
        <v>Roma</v>
      </c>
      <c r="E45" s="15">
        <f>IFERROR(__xludf.DUMMYFUNCTION("""COMPUTED_VALUE"""),6.0)</f>
        <v>6</v>
      </c>
      <c r="F45" s="17">
        <f>IFERROR(__xludf.DUMMYFUNCTION("""COMPUTED_VALUE"""),0.01)</f>
        <v>0.01</v>
      </c>
      <c r="G45" s="15" t="str">
        <f>IFERROR(__xludf.DUMMYFUNCTION("""COMPUTED_VALUE"""),"SCOMMESSE")</f>
        <v>SCOMMESSE</v>
      </c>
      <c r="H45" s="11"/>
      <c r="I45" s="15"/>
      <c r="K45" s="21">
        <v>4.0</v>
      </c>
    </row>
    <row r="46">
      <c r="A46" s="11">
        <f>IFERROR(__xludf.DUMMYFUNCTION("""COMPUTED_VALUE"""),5675.0)</f>
        <v>5675</v>
      </c>
      <c r="B46" s="11" t="str">
        <f>IFERROR(__xludf.DUMMYFUNCTION("""COMPUTED_VALUE"""),"D")</f>
        <v>D</v>
      </c>
      <c r="C46" s="11" t="str">
        <f>IFERROR(__xludf.DUMMYFUNCTION("""COMPUTED_VALUE"""),"Theate")</f>
        <v>Theate</v>
      </c>
      <c r="D46" s="11" t="str">
        <f>IFERROR(__xludf.DUMMYFUNCTION("""COMPUTED_VALUE"""),"Bologna")</f>
        <v>Bologna</v>
      </c>
      <c r="E46" s="15">
        <f>IFERROR(__xludf.DUMMYFUNCTION("""COMPUTED_VALUE"""),6.0)</f>
        <v>6</v>
      </c>
      <c r="F46" s="17">
        <f>IFERROR(__xludf.DUMMYFUNCTION("""COMPUTED_VALUE"""),0.01)</f>
        <v>0.01</v>
      </c>
      <c r="G46" s="15" t="str">
        <f>IFERROR(__xludf.DUMMYFUNCTION("""COMPUTED_VALUE"""),"SCOMMESSE")</f>
        <v>SCOMMESSE</v>
      </c>
      <c r="H46" s="11"/>
      <c r="I46" s="15"/>
    </row>
    <row r="47">
      <c r="A47" s="11">
        <f>IFERROR(__xludf.DUMMYFUNCTION("""COMPUTED_VALUE"""),7131.0)</f>
        <v>7131</v>
      </c>
      <c r="B47" s="11" t="str">
        <f>IFERROR(__xludf.DUMMYFUNCTION("""COMPUTED_VALUE"""),"D")</f>
        <v>D</v>
      </c>
      <c r="C47" s="11" t="str">
        <f>IFERROR(__xludf.DUMMYFUNCTION("""COMPUTED_VALUE"""),"Floriani Mussolini")</f>
        <v>Floriani Mussolini</v>
      </c>
      <c r="D47" s="11" t="str">
        <f>IFERROR(__xludf.DUMMYFUNCTION("""COMPUTED_VALUE"""),"Lazio")</f>
        <v>Lazio</v>
      </c>
      <c r="E47" s="15">
        <f>IFERROR(__xludf.DUMMYFUNCTION("""COMPUTED_VALUE"""),6.0)</f>
        <v>6</v>
      </c>
      <c r="F47" s="17">
        <f>IFERROR(__xludf.DUMMYFUNCTION("""COMPUTED_VALUE"""),0.01)</f>
        <v>0.01</v>
      </c>
      <c r="G47" s="15" t="str">
        <f>IFERROR(__xludf.DUMMYFUNCTION("""COMPUTED_VALUE"""),"SCOMMESSE")</f>
        <v>SCOMMESSE</v>
      </c>
      <c r="H47" s="11" t="str">
        <f>IFERROR(__xludf.DUMMYFUNCTION("""COMPUTED_VALUE"""),"⭐")</f>
        <v>⭐</v>
      </c>
      <c r="I47" s="15"/>
    </row>
    <row r="48">
      <c r="A48" s="11">
        <f>IFERROR(__xludf.DUMMYFUNCTION("""COMPUTED_VALUE"""),5739.0)</f>
        <v>5739</v>
      </c>
      <c r="B48" s="11" t="str">
        <f>IFERROR(__xludf.DUMMYFUNCTION("""COMPUTED_VALUE"""),"D")</f>
        <v>D</v>
      </c>
      <c r="C48" s="13" t="str">
        <f>IFERROR(__xludf.DUMMYFUNCTION("""COMPUTED_VALUE"""),"De Winter")</f>
        <v>De Winter</v>
      </c>
      <c r="D48" s="11" t="str">
        <f>IFERROR(__xludf.DUMMYFUNCTION("""COMPUTED_VALUE"""),"Milan")</f>
        <v>Milan</v>
      </c>
      <c r="E48" s="15">
        <f>IFERROR(__xludf.DUMMYFUNCTION("""COMPUTED_VALUE"""),4.0)</f>
        <v>4</v>
      </c>
      <c r="F48" s="17">
        <f>IFERROR(__xludf.DUMMYFUNCTION("""COMPUTED_VALUE"""),0.006)</f>
        <v>0.006</v>
      </c>
      <c r="G48" s="15" t="str">
        <f>IFERROR(__xludf.DUMMYFUNCTION("""COMPUTED_VALUE"""),"SCOMMESSE")</f>
        <v>SCOMMESSE</v>
      </c>
      <c r="H48" s="11"/>
      <c r="I48" s="15"/>
    </row>
    <row r="49">
      <c r="A49" s="11">
        <f>IFERROR(__xludf.DUMMYFUNCTION("""COMPUTED_VALUE"""),7069.0)</f>
        <v>7069</v>
      </c>
      <c r="B49" s="11" t="str">
        <f>IFERROR(__xludf.DUMMYFUNCTION("""COMPUTED_VALUE"""),"D")</f>
        <v>D</v>
      </c>
      <c r="C49" s="11" t="str">
        <f>IFERROR(__xludf.DUMMYFUNCTION("""COMPUTED_VALUE"""),"Fortini")</f>
        <v>Fortini</v>
      </c>
      <c r="D49" s="11" t="str">
        <f>IFERROR(__xludf.DUMMYFUNCTION("""COMPUTED_VALUE"""),"Torino")</f>
        <v>Torino</v>
      </c>
      <c r="E49" s="15">
        <f>IFERROR(__xludf.DUMMYFUNCTION("""COMPUTED_VALUE"""),1.0)</f>
        <v>1</v>
      </c>
      <c r="F49" s="17">
        <f>IFERROR(__xludf.DUMMYFUNCTION("""COMPUTED_VALUE"""),0.002)</f>
        <v>0.002</v>
      </c>
      <c r="G49" s="15" t="str">
        <f>IFERROR(__xludf.DUMMYFUNCTION("""COMPUTED_VALUE"""),"SCOMMESSE")</f>
        <v>SCOMMESSE</v>
      </c>
      <c r="H49" s="11" t="str">
        <f>IFERROR(__xludf.DUMMYFUNCTION("""COMPUTED_VALUE"""),"⭐")</f>
        <v>⭐</v>
      </c>
      <c r="I49" s="15"/>
    </row>
    <row r="50">
      <c r="A50" s="11">
        <f>IFERROR(__xludf.DUMMYFUNCTION("""COMPUTED_VALUE"""),7621.0)</f>
        <v>7621</v>
      </c>
      <c r="B50" s="11" t="str">
        <f>IFERROR(__xludf.DUMMYFUNCTION("""COMPUTED_VALUE"""),"D")</f>
        <v>D</v>
      </c>
      <c r="C50" s="13" t="str">
        <f>IFERROR(__xludf.DUMMYFUNCTION("""COMPUTED_VALUE"""),"Sugawara")</f>
        <v>Sugawara</v>
      </c>
      <c r="D50" s="11" t="str">
        <f>IFERROR(__xludf.DUMMYFUNCTION("""COMPUTED_VALUE"""),"Cagliari")</f>
        <v>Cagliari</v>
      </c>
      <c r="E50" s="15">
        <f>IFERROR(__xludf.DUMMYFUNCTION("""COMPUTED_VALUE"""),1.0)</f>
        <v>1</v>
      </c>
      <c r="F50" s="17">
        <f>IFERROR(__xludf.DUMMYFUNCTION("""COMPUTED_VALUE"""),0.002)</f>
        <v>0.002</v>
      </c>
      <c r="G50" s="15" t="str">
        <f>IFERROR(__xludf.DUMMYFUNCTION("""COMPUTED_VALUE"""),"SCOMMESSE")</f>
        <v>SCOMMESSE</v>
      </c>
      <c r="H50" s="11"/>
      <c r="I50" s="15"/>
    </row>
    <row r="51">
      <c r="A51" s="11">
        <f>IFERROR(__xludf.DUMMYFUNCTION("""COMPUTED_VALUE"""),7563.0)</f>
        <v>7563</v>
      </c>
      <c r="B51" s="11" t="str">
        <f>IFERROR(__xludf.DUMMYFUNCTION("""COMPUTED_VALUE"""),"D")</f>
        <v>D</v>
      </c>
      <c r="C51" s="11" t="str">
        <f>IFERROR(__xludf.DUMMYFUNCTION("""COMPUTED_VALUE"""),"Favasuli")</f>
        <v>Favasuli</v>
      </c>
      <c r="D51" s="11" t="str">
        <f>IFERROR(__xludf.DUMMYFUNCTION("""COMPUTED_VALUE"""),"Napoli")</f>
        <v>Napoli</v>
      </c>
      <c r="E51" s="15">
        <f>IFERROR(__xludf.DUMMYFUNCTION("""COMPUTED_VALUE"""),1.0)</f>
        <v>1</v>
      </c>
      <c r="F51" s="17">
        <f>IFERROR(__xludf.DUMMYFUNCTION("""COMPUTED_VALUE"""),0.002)</f>
        <v>0.002</v>
      </c>
      <c r="G51" s="15" t="str">
        <f>IFERROR(__xludf.DUMMYFUNCTION("""COMPUTED_VALUE"""),"SCOMMESSE")</f>
        <v>SCOMMESSE</v>
      </c>
      <c r="H51" s="11" t="str">
        <f>IFERROR(__xludf.DUMMYFUNCTION("""COMPUTED_VALUE"""),"⭐")</f>
        <v>⭐</v>
      </c>
      <c r="I51" s="15"/>
    </row>
    <row r="52">
      <c r="A52" s="11">
        <f>IFERROR(__xludf.DUMMYFUNCTION("""COMPUTED_VALUE"""),7260.0)</f>
        <v>7260</v>
      </c>
      <c r="B52" s="11" t="str">
        <f>IFERROR(__xludf.DUMMYFUNCTION("""COMPUTED_VALUE"""),"D")</f>
        <v>D</v>
      </c>
      <c r="C52" s="11" t="str">
        <f>IFERROR(__xludf.DUMMYFUNCTION("""COMPUTED_VALUE"""),"Ziolkowski")</f>
        <v>Ziolkowski</v>
      </c>
      <c r="D52" s="11" t="str">
        <f>IFERROR(__xludf.DUMMYFUNCTION("""COMPUTED_VALUE"""),"Monza")</f>
        <v>Monza</v>
      </c>
      <c r="E52" s="15">
        <f>IFERROR(__xludf.DUMMYFUNCTION("""COMPUTED_VALUE"""),1.0)</f>
        <v>1</v>
      </c>
      <c r="F52" s="17">
        <f>IFERROR(__xludf.DUMMYFUNCTION("""COMPUTED_VALUE"""),0.002)</f>
        <v>0.002</v>
      </c>
      <c r="G52" s="15" t="str">
        <f>IFERROR(__xludf.DUMMYFUNCTION("""COMPUTED_VALUE"""),"SCOMMESSE")</f>
        <v>SCOMMESSE</v>
      </c>
      <c r="H52" s="11"/>
      <c r="I52" s="15"/>
    </row>
    <row r="53">
      <c r="A53" s="11">
        <f>IFERROR(__xludf.DUMMYFUNCTION("""COMPUTED_VALUE"""),4952.0)</f>
        <v>4952</v>
      </c>
      <c r="B53" s="11" t="str">
        <f>IFERROR(__xludf.DUMMYFUNCTION("""COMPUTED_VALUE"""),"D")</f>
        <v>D</v>
      </c>
      <c r="C53" s="11" t="str">
        <f>IFERROR(__xludf.DUMMYFUNCTION("""COMPUTED_VALUE"""),"Monterisi")</f>
        <v>Monterisi</v>
      </c>
      <c r="D53" s="11" t="str">
        <f>IFERROR(__xludf.DUMMYFUNCTION("""COMPUTED_VALUE"""),"Frosinone")</f>
        <v>Frosinone</v>
      </c>
      <c r="E53" s="15">
        <f>IFERROR(__xludf.DUMMYFUNCTION("""COMPUTED_VALUE"""),8.0)</f>
        <v>8</v>
      </c>
      <c r="F53" s="17">
        <f>IFERROR(__xludf.DUMMYFUNCTION("""COMPUTED_VALUE"""),0.013)</f>
        <v>0.013</v>
      </c>
      <c r="G53" s="15" t="str">
        <f>IFERROR(__xludf.DUMMYFUNCTION("""COMPUTED_VALUE"""),"TITOLARI")</f>
        <v>TITOLARI</v>
      </c>
      <c r="H53" s="11"/>
      <c r="I53" s="15"/>
    </row>
    <row r="54">
      <c r="A54" s="11">
        <f>IFERROR(__xludf.DUMMYFUNCTION("""COMPUTED_VALUE"""),4734.0)</f>
        <v>4734</v>
      </c>
      <c r="B54" s="11" t="str">
        <f>IFERROR(__xludf.DUMMYFUNCTION("""COMPUTED_VALUE"""),"D")</f>
        <v>D</v>
      </c>
      <c r="C54" s="11" t="str">
        <f>IFERROR(__xludf.DUMMYFUNCTION("""COMPUTED_VALUE"""),"Miranda J.")</f>
        <v>Miranda J.</v>
      </c>
      <c r="D54" s="11" t="str">
        <f>IFERROR(__xludf.DUMMYFUNCTION("""COMPUTED_VALUE"""),"Bologna")</f>
        <v>Bologna</v>
      </c>
      <c r="E54" s="15">
        <f>IFERROR(__xludf.DUMMYFUNCTION("""COMPUTED_VALUE"""),1.0)</f>
        <v>1</v>
      </c>
      <c r="F54" s="17">
        <f>IFERROR(__xludf.DUMMYFUNCTION("""COMPUTED_VALUE"""),0.002)</f>
        <v>0.002</v>
      </c>
      <c r="G54" s="15" t="str">
        <f>IFERROR(__xludf.DUMMYFUNCTION("""COMPUTED_VALUE"""),"TITOLARI")</f>
        <v>TITOLARI</v>
      </c>
      <c r="H54" s="11"/>
      <c r="I54" s="15"/>
    </row>
    <row r="55">
      <c r="A55" s="11">
        <f>IFERROR(__xludf.DUMMYFUNCTION("""COMPUTED_VALUE"""),7485.0)</f>
        <v>7485</v>
      </c>
      <c r="B55" s="11" t="str">
        <f>IFERROR(__xludf.DUMMYFUNCTION("""COMPUTED_VALUE"""),"D")</f>
        <v>D</v>
      </c>
      <c r="C55" s="13" t="str">
        <f>IFERROR(__xludf.DUMMYFUNCTION("""COMPUTED_VALUE"""),"Mangas")</f>
        <v>Mangas</v>
      </c>
      <c r="D55" s="11" t="str">
        <f>IFERROR(__xludf.DUMMYFUNCTION("""COMPUTED_VALUE"""),"Monza")</f>
        <v>Monza</v>
      </c>
      <c r="E55" s="15">
        <f>IFERROR(__xludf.DUMMYFUNCTION("""COMPUTED_VALUE"""),1.0)</f>
        <v>1</v>
      </c>
      <c r="F55" s="17">
        <f>IFERROR(__xludf.DUMMYFUNCTION("""COMPUTED_VALUE"""),0.002)</f>
        <v>0.002</v>
      </c>
      <c r="G55" s="15" t="str">
        <f>IFERROR(__xludf.DUMMYFUNCTION("""COMPUTED_VALUE"""),"TITOLARI")</f>
        <v>TITOLARI</v>
      </c>
      <c r="H55" s="11"/>
      <c r="I55" s="15"/>
    </row>
    <row r="56">
      <c r="A56" s="11">
        <f>IFERROR(__xludf.DUMMYFUNCTION("""COMPUTED_VALUE"""),6893.0)</f>
        <v>6893</v>
      </c>
      <c r="B56" s="11" t="str">
        <f>IFERROR(__xludf.DUMMYFUNCTION("""COMPUTED_VALUE"""),"D")</f>
        <v>D</v>
      </c>
      <c r="C56" s="11" t="str">
        <f>IFERROR(__xludf.DUMMYFUNCTION("""COMPUTED_VALUE"""),"Kempf")</f>
        <v>Kempf</v>
      </c>
      <c r="D56" s="11" t="str">
        <f>IFERROR(__xludf.DUMMYFUNCTION("""COMPUTED_VALUE"""),"Como")</f>
        <v>Como</v>
      </c>
      <c r="E56" s="15">
        <f>IFERROR(__xludf.DUMMYFUNCTION("""COMPUTED_VALUE"""),1.0)</f>
        <v>1</v>
      </c>
      <c r="F56" s="17">
        <f>IFERROR(__xludf.DUMMYFUNCTION("""COMPUTED_VALUE"""),0.002)</f>
        <v>0.002</v>
      </c>
      <c r="G56" s="15" t="str">
        <f>IFERROR(__xludf.DUMMYFUNCTION("""COMPUTED_VALUE"""),"TITOLARI")</f>
        <v>TITOLARI</v>
      </c>
      <c r="H56" s="11"/>
      <c r="I56" s="15"/>
    </row>
    <row r="57">
      <c r="A57" s="11">
        <f>IFERROR(__xludf.DUMMYFUNCTION("""COMPUTED_VALUE"""),7268.0)</f>
        <v>7268</v>
      </c>
      <c r="B57" s="11" t="str">
        <f>IFERROR(__xludf.DUMMYFUNCTION("""COMPUTED_VALUE"""),"D")</f>
        <v>D</v>
      </c>
      <c r="C57" s="11" t="str">
        <f>IFERROR(__xludf.DUMMYFUNCTION("""COMPUTED_VALUE"""),"Rodriguez Ju.")</f>
        <v>Rodriguez Ju.</v>
      </c>
      <c r="D57" s="11" t="str">
        <f>IFERROR(__xludf.DUMMYFUNCTION("""COMPUTED_VALUE"""),"Cagliari")</f>
        <v>Cagliari</v>
      </c>
      <c r="E57" s="15">
        <f>IFERROR(__xludf.DUMMYFUNCTION("""COMPUTED_VALUE"""),1.0)</f>
        <v>1</v>
      </c>
      <c r="F57" s="17">
        <f>IFERROR(__xludf.DUMMYFUNCTION("""COMPUTED_VALUE"""),0.001)</f>
        <v>0.001</v>
      </c>
      <c r="G57" s="15" t="str">
        <f>IFERROR(__xludf.DUMMYFUNCTION("""COMPUTED_VALUE"""),"TITOLARI")</f>
        <v>TITOLARI</v>
      </c>
      <c r="H57" s="11"/>
      <c r="I57" s="15"/>
    </row>
    <row r="58">
      <c r="A58" s="11">
        <f>IFERROR(__xludf.DUMMYFUNCTION("""COMPUTED_VALUE"""),4502.0)</f>
        <v>4502</v>
      </c>
      <c r="B58" s="11" t="str">
        <f>IFERROR(__xludf.DUMMYFUNCTION("""COMPUTED_VALUE"""),"D")</f>
        <v>D</v>
      </c>
      <c r="C58" s="11" t="str">
        <f>IFERROR(__xludf.DUMMYFUNCTION("""COMPUTED_VALUE"""),"Gallo")</f>
        <v>Gallo</v>
      </c>
      <c r="D58" s="11" t="str">
        <f>IFERROR(__xludf.DUMMYFUNCTION("""COMPUTED_VALUE"""),"Lecce")</f>
        <v>Lecce</v>
      </c>
      <c r="E58" s="15">
        <f>IFERROR(__xludf.DUMMYFUNCTION("""COMPUTED_VALUE"""),1.0)</f>
        <v>1</v>
      </c>
      <c r="F58" s="17">
        <f>IFERROR(__xludf.DUMMYFUNCTION("""COMPUTED_VALUE"""),0.002)</f>
        <v>0.002</v>
      </c>
      <c r="G58" s="15" t="str">
        <f>IFERROR(__xludf.DUMMYFUNCTION("""COMPUTED_VALUE"""),"TITOLARI")</f>
        <v>TITOLARI</v>
      </c>
      <c r="H58" s="11"/>
      <c r="I58" s="15"/>
    </row>
    <row r="59">
      <c r="A59" s="11">
        <f>IFERROR(__xludf.DUMMYFUNCTION("""COMPUTED_VALUE"""),5838.0)</f>
        <v>5838</v>
      </c>
      <c r="B59" s="11" t="str">
        <f>IFERROR(__xludf.DUMMYFUNCTION("""COMPUTED_VALUE"""),"D")</f>
        <v>D</v>
      </c>
      <c r="C59" s="11" t="str">
        <f>IFERROR(__xludf.DUMMYFUNCTION("""COMPUTED_VALUE"""),"Birindelli")</f>
        <v>Birindelli</v>
      </c>
      <c r="D59" s="11" t="str">
        <f>IFERROR(__xludf.DUMMYFUNCTION("""COMPUTED_VALUE"""),"Monza")</f>
        <v>Monza</v>
      </c>
      <c r="E59" s="15">
        <f>IFERROR(__xludf.DUMMYFUNCTION("""COMPUTED_VALUE"""),1.0)</f>
        <v>1</v>
      </c>
      <c r="F59" s="17">
        <f>IFERROR(__xludf.DUMMYFUNCTION("""COMPUTED_VALUE"""),0.002)</f>
        <v>0.002</v>
      </c>
      <c r="G59" s="15" t="str">
        <f>IFERROR(__xludf.DUMMYFUNCTION("""COMPUTED_VALUE"""),"TITOLARI")</f>
        <v>TITOLARI</v>
      </c>
      <c r="H59" s="11"/>
      <c r="I59" s="15"/>
    </row>
    <row r="60">
      <c r="A60" s="11">
        <f>IFERROR(__xludf.DUMMYFUNCTION("""COMPUTED_VALUE"""),4263.0)</f>
        <v>4263</v>
      </c>
      <c r="B60" s="11" t="str">
        <f>IFERROR(__xludf.DUMMYFUNCTION("""COMPUTED_VALUE"""),"D")</f>
        <v>D</v>
      </c>
      <c r="C60" s="11" t="str">
        <f>IFERROR(__xludf.DUMMYFUNCTION("""COMPUTED_VALUE"""),"Kabasele")</f>
        <v>Kabasele</v>
      </c>
      <c r="D60" s="11" t="str">
        <f>IFERROR(__xludf.DUMMYFUNCTION("""COMPUTED_VALUE"""),"Udinese")</f>
        <v>Udinese</v>
      </c>
      <c r="E60" s="15">
        <f>IFERROR(__xludf.DUMMYFUNCTION("""COMPUTED_VALUE"""),1.0)</f>
        <v>1</v>
      </c>
      <c r="F60" s="17">
        <f>IFERROR(__xludf.DUMMYFUNCTION("""COMPUTED_VALUE"""),0.002)</f>
        <v>0.002</v>
      </c>
      <c r="G60" s="15" t="str">
        <f>IFERROR(__xludf.DUMMYFUNCTION("""COMPUTED_VALUE"""),"TITOLARI")</f>
        <v>TITOLARI</v>
      </c>
      <c r="H60" s="11"/>
      <c r="I60" s="15"/>
    </row>
    <row r="61">
      <c r="A61" s="11">
        <f>IFERROR(__xludf.DUMMYFUNCTION("""COMPUTED_VALUE"""),6821.0)</f>
        <v>6821</v>
      </c>
      <c r="B61" s="11" t="str">
        <f>IFERROR(__xludf.DUMMYFUNCTION("""COMPUTED_VALUE"""),"D")</f>
        <v>D</v>
      </c>
      <c r="C61" s="11" t="str">
        <f>IFERROR(__xludf.DUMMYFUNCTION("""COMPUTED_VALUE"""),"Hainaut")</f>
        <v>Hainaut</v>
      </c>
      <c r="D61" s="11" t="str">
        <f>IFERROR(__xludf.DUMMYFUNCTION("""COMPUTED_VALUE"""),"Venezia")</f>
        <v>Venezia</v>
      </c>
      <c r="E61" s="15">
        <f>IFERROR(__xludf.DUMMYFUNCTION("""COMPUTED_VALUE"""),1.0)</f>
        <v>1</v>
      </c>
      <c r="F61" s="17">
        <f>IFERROR(__xludf.DUMMYFUNCTION("""COMPUTED_VALUE"""),0.002)</f>
        <v>0.002</v>
      </c>
      <c r="G61" s="15" t="str">
        <f>IFERROR(__xludf.DUMMYFUNCTION("""COMPUTED_VALUE"""),"TITOLARI")</f>
        <v>TITOLARI</v>
      </c>
      <c r="H61" s="11"/>
      <c r="I61" s="15"/>
    </row>
    <row r="62">
      <c r="A62" s="11">
        <f>IFERROR(__xludf.DUMMYFUNCTION("""COMPUTED_VALUE"""),5307.0)</f>
        <v>5307</v>
      </c>
      <c r="B62" s="11" t="str">
        <f>IFERROR(__xludf.DUMMYFUNCTION("""COMPUTED_VALUE"""),"D")</f>
        <v>D</v>
      </c>
      <c r="C62" s="11" t="str">
        <f>IFERROR(__xludf.DUMMYFUNCTION("""COMPUTED_VALUE"""),"Valenti")</f>
        <v>Valenti</v>
      </c>
      <c r="D62" s="11" t="str">
        <f>IFERROR(__xludf.DUMMYFUNCTION("""COMPUTED_VALUE"""),"Parma")</f>
        <v>Parma</v>
      </c>
      <c r="E62" s="15">
        <f>IFERROR(__xludf.DUMMYFUNCTION("""COMPUTED_VALUE"""),1.0)</f>
        <v>1</v>
      </c>
      <c r="F62" s="17">
        <f>IFERROR(__xludf.DUMMYFUNCTION("""COMPUTED_VALUE"""),0.002)</f>
        <v>0.002</v>
      </c>
      <c r="G62" s="15" t="str">
        <f>IFERROR(__xludf.DUMMYFUNCTION("""COMPUTED_VALUE"""),"TITOLARI")</f>
        <v>TITOLARI</v>
      </c>
      <c r="H62" s="11"/>
      <c r="I62" s="15"/>
    </row>
    <row r="63">
      <c r="A63" s="11">
        <f>IFERROR(__xludf.DUMMYFUNCTION("""COMPUTED_VALUE"""),6495.0)</f>
        <v>6495</v>
      </c>
      <c r="B63" s="11" t="str">
        <f>IFERROR(__xludf.DUMMYFUNCTION("""COMPUTED_VALUE"""),"D")</f>
        <v>D</v>
      </c>
      <c r="C63" s="11" t="str">
        <f>IFERROR(__xludf.DUMMYFUNCTION("""COMPUTED_VALUE"""),"Comuzzo")</f>
        <v>Comuzzo</v>
      </c>
      <c r="D63" s="11" t="str">
        <f>IFERROR(__xludf.DUMMYFUNCTION("""COMPUTED_VALUE"""),"Torino")</f>
        <v>Torino</v>
      </c>
      <c r="E63" s="15">
        <f>IFERROR(__xludf.DUMMYFUNCTION("""COMPUTED_VALUE"""),1.0)</f>
        <v>1</v>
      </c>
      <c r="F63" s="17">
        <f>IFERROR(__xludf.DUMMYFUNCTION("""COMPUTED_VALUE"""),0.001)</f>
        <v>0.001</v>
      </c>
      <c r="G63" s="15" t="str">
        <f>IFERROR(__xludf.DUMMYFUNCTION("""COMPUTED_VALUE"""),"TITOLARI")</f>
        <v>TITOLARI</v>
      </c>
      <c r="H63" s="11"/>
      <c r="I63" s="15"/>
    </row>
    <row r="64">
      <c r="A64" s="11">
        <f>IFERROR(__xludf.DUMMYFUNCTION("""COMPUTED_VALUE"""),4137.0)</f>
        <v>4137</v>
      </c>
      <c r="B64" s="11" t="str">
        <f>IFERROR(__xludf.DUMMYFUNCTION("""COMPUTED_VALUE"""),"D")</f>
        <v>D</v>
      </c>
      <c r="C64" s="11" t="str">
        <f>IFERROR(__xludf.DUMMYFUNCTION("""COMPUTED_VALUE"""),"Diego Carlos")</f>
        <v>Diego Carlos</v>
      </c>
      <c r="D64" s="11" t="str">
        <f>IFERROR(__xludf.DUMMYFUNCTION("""COMPUTED_VALUE"""),"Parma")</f>
        <v>Parma</v>
      </c>
      <c r="E64" s="15">
        <f>IFERROR(__xludf.DUMMYFUNCTION("""COMPUTED_VALUE"""),1.0)</f>
        <v>1</v>
      </c>
      <c r="F64" s="17">
        <f>IFERROR(__xludf.DUMMYFUNCTION("""COMPUTED_VALUE"""),0.001)</f>
        <v>0.001</v>
      </c>
      <c r="G64" s="15" t="str">
        <f>IFERROR(__xludf.DUMMYFUNCTION("""COMPUTED_VALUE"""),"TITOLARI")</f>
        <v>TITOLARI</v>
      </c>
      <c r="H64" s="11"/>
      <c r="I64" s="15"/>
    </row>
    <row r="65">
      <c r="A65" s="11">
        <f>IFERROR(__xludf.DUMMYFUNCTION("""COMPUTED_VALUE"""),6660.0)</f>
        <v>6660</v>
      </c>
      <c r="B65" s="11" t="str">
        <f>IFERROR(__xludf.DUMMYFUNCTION("""COMPUTED_VALUE"""),"D")</f>
        <v>D</v>
      </c>
      <c r="C65" s="11" t="str">
        <f>IFERROR(__xludf.DUMMYFUNCTION("""COMPUTED_VALUE"""),"Marcandalli")</f>
        <v>Marcandalli</v>
      </c>
      <c r="D65" s="11" t="str">
        <f>IFERROR(__xludf.DUMMYFUNCTION("""COMPUTED_VALUE"""),"Genoa")</f>
        <v>Genoa</v>
      </c>
      <c r="E65" s="15">
        <f>IFERROR(__xludf.DUMMYFUNCTION("""COMPUTED_VALUE"""),1.0)</f>
        <v>1</v>
      </c>
      <c r="F65" s="17">
        <f>IFERROR(__xludf.DUMMYFUNCTION("""COMPUTED_VALUE"""),0.002)</f>
        <v>0.002</v>
      </c>
      <c r="G65" s="15" t="str">
        <f>IFERROR(__xludf.DUMMYFUNCTION("""COMPUTED_VALUE"""),"TITOLARI")</f>
        <v>TITOLARI</v>
      </c>
      <c r="H65" s="11" t="str">
        <f>IFERROR(__xludf.DUMMYFUNCTION("""COMPUTED_VALUE"""),"⭐")</f>
        <v>⭐</v>
      </c>
      <c r="I65" s="15"/>
    </row>
    <row r="66">
      <c r="A66" s="11">
        <f>IFERROR(__xludf.DUMMYFUNCTION("""COMPUTED_VALUE"""),6867.0)</f>
        <v>6867</v>
      </c>
      <c r="B66" s="11" t="str">
        <f>IFERROR(__xludf.DUMMYFUNCTION("""COMPUTED_VALUE"""),"D")</f>
        <v>D</v>
      </c>
      <c r="C66" s="11" t="str">
        <f>IFERROR(__xludf.DUMMYFUNCTION("""COMPUTED_VALUE"""),"Valle")</f>
        <v>Valle</v>
      </c>
      <c r="D66" s="11" t="str">
        <f>IFERROR(__xludf.DUMMYFUNCTION("""COMPUTED_VALUE"""),"Como")</f>
        <v>Como</v>
      </c>
      <c r="E66" s="15">
        <f>IFERROR(__xludf.DUMMYFUNCTION("""COMPUTED_VALUE"""),13.0)</f>
        <v>13</v>
      </c>
      <c r="F66" s="17">
        <f>IFERROR(__xludf.DUMMYFUNCTION("""COMPUTED_VALUE"""),0.021)</f>
        <v>0.021</v>
      </c>
      <c r="G66" s="15"/>
      <c r="H66" s="11"/>
      <c r="I66" s="15"/>
    </row>
    <row r="67">
      <c r="A67" s="11">
        <f>IFERROR(__xludf.DUMMYFUNCTION("""COMPUTED_VALUE"""),4210.0)</f>
        <v>4210</v>
      </c>
      <c r="B67" s="11" t="str">
        <f>IFERROR(__xludf.DUMMYFUNCTION("""COMPUTED_VALUE"""),"D")</f>
        <v>D</v>
      </c>
      <c r="C67" s="11" t="str">
        <f>IFERROR(__xludf.DUMMYFUNCTION("""COMPUTED_VALUE"""),"Mina")</f>
        <v>Mina</v>
      </c>
      <c r="D67" s="11" t="str">
        <f>IFERROR(__xludf.DUMMYFUNCTION("""COMPUTED_VALUE"""),"Cagliari")</f>
        <v>Cagliari</v>
      </c>
      <c r="E67" s="15">
        <f>IFERROR(__xludf.DUMMYFUNCTION("""COMPUTED_VALUE"""),12.0)</f>
        <v>12</v>
      </c>
      <c r="F67" s="17">
        <f>IFERROR(__xludf.DUMMYFUNCTION("""COMPUTED_VALUE"""),0.02)</f>
        <v>0.02</v>
      </c>
      <c r="G67" s="15"/>
      <c r="H67" s="11"/>
      <c r="I67" s="15"/>
    </row>
    <row r="68">
      <c r="A68" s="11">
        <f>IFERROR(__xludf.DUMMYFUNCTION("""COMPUTED_VALUE"""),7220.0)</f>
        <v>7220</v>
      </c>
      <c r="B68" s="11" t="str">
        <f>IFERROR(__xludf.DUMMYFUNCTION("""COMPUTED_VALUE"""),"D")</f>
        <v>D</v>
      </c>
      <c r="C68" s="11" t="str">
        <f>IFERROR(__xludf.DUMMYFUNCTION("""COMPUTED_VALUE"""),"Belghali")</f>
        <v>Belghali</v>
      </c>
      <c r="D68" s="11" t="str">
        <f>IFERROR(__xludf.DUMMYFUNCTION("""COMPUTED_VALUE"""),"Torino")</f>
        <v>Torino</v>
      </c>
      <c r="E68" s="15">
        <f>IFERROR(__xludf.DUMMYFUNCTION("""COMPUTED_VALUE"""),12.0)</f>
        <v>12</v>
      </c>
      <c r="F68" s="17">
        <f>IFERROR(__xludf.DUMMYFUNCTION("""COMPUTED_VALUE"""),0.02)</f>
        <v>0.02</v>
      </c>
      <c r="G68" s="15"/>
      <c r="H68" s="11"/>
      <c r="I68" s="15"/>
    </row>
    <row r="69">
      <c r="A69" s="11">
        <f>IFERROR(__xludf.DUMMYFUNCTION("""COMPUTED_VALUE"""),2188.0)</f>
        <v>2188</v>
      </c>
      <c r="B69" s="11" t="str">
        <f>IFERROR(__xludf.DUMMYFUNCTION("""COMPUTED_VALUE"""),"D")</f>
        <v>D</v>
      </c>
      <c r="C69" s="11" t="str">
        <f>IFERROR(__xludf.DUMMYFUNCTION("""COMPUTED_VALUE"""),"Marusic")</f>
        <v>Marusic</v>
      </c>
      <c r="D69" s="11" t="str">
        <f>IFERROR(__xludf.DUMMYFUNCTION("""COMPUTED_VALUE"""),"Lazio")</f>
        <v>Lazio</v>
      </c>
      <c r="E69" s="15">
        <f>IFERROR(__xludf.DUMMYFUNCTION("""COMPUTED_VALUE"""),12.0)</f>
        <v>12</v>
      </c>
      <c r="F69" s="17">
        <f>IFERROR(__xludf.DUMMYFUNCTION("""COMPUTED_VALUE"""),0.02)</f>
        <v>0.02</v>
      </c>
      <c r="G69" s="15"/>
      <c r="H69" s="11"/>
      <c r="I69" s="15"/>
    </row>
    <row r="70">
      <c r="A70" s="11">
        <f>IFERROR(__xludf.DUMMYFUNCTION("""COMPUTED_VALUE"""),6485.0)</f>
        <v>6485</v>
      </c>
      <c r="B70" s="11" t="str">
        <f>IFERROR(__xludf.DUMMYFUNCTION("""COMPUTED_VALUE"""),"D")</f>
        <v>D</v>
      </c>
      <c r="C70" s="11" t="str">
        <f>IFERROR(__xludf.DUMMYFUNCTION("""COMPUTED_VALUE"""),"Kristensen T.")</f>
        <v>Kristensen T.</v>
      </c>
      <c r="D70" s="11" t="str">
        <f>IFERROR(__xludf.DUMMYFUNCTION("""COMPUTED_VALUE"""),"Atalanta")</f>
        <v>Atalanta</v>
      </c>
      <c r="E70" s="15">
        <f>IFERROR(__xludf.DUMMYFUNCTION("""COMPUTED_VALUE"""),12.0)</f>
        <v>12</v>
      </c>
      <c r="F70" s="17">
        <f>IFERROR(__xludf.DUMMYFUNCTION("""COMPUTED_VALUE"""),0.02)</f>
        <v>0.02</v>
      </c>
      <c r="G70" s="15"/>
      <c r="H70" s="11"/>
      <c r="I70" s="15"/>
    </row>
    <row r="71">
      <c r="A71" s="11">
        <f>IFERROR(__xludf.DUMMYFUNCTION("""COMPUTED_VALUE"""),4433.0)</f>
        <v>4433</v>
      </c>
      <c r="B71" s="11" t="str">
        <f>IFERROR(__xludf.DUMMYFUNCTION("""COMPUTED_VALUE"""),"D")</f>
        <v>D</v>
      </c>
      <c r="C71" s="11" t="str">
        <f>IFERROR(__xludf.DUMMYFUNCTION("""COMPUTED_VALUE"""),"Zortea")</f>
        <v>Zortea</v>
      </c>
      <c r="D71" s="11" t="str">
        <f>IFERROR(__xludf.DUMMYFUNCTION("""COMPUTED_VALUE"""),"Bologna")</f>
        <v>Bologna</v>
      </c>
      <c r="E71" s="15">
        <f>IFERROR(__xludf.DUMMYFUNCTION("""COMPUTED_VALUE"""),11.0)</f>
        <v>11</v>
      </c>
      <c r="F71" s="17">
        <f>IFERROR(__xludf.DUMMYFUNCTION("""COMPUTED_VALUE"""),0.019)</f>
        <v>0.019</v>
      </c>
      <c r="G71" s="15"/>
      <c r="H71" s="11"/>
      <c r="I71" s="15"/>
    </row>
    <row r="72">
      <c r="A72" s="11">
        <f>IFERROR(__xludf.DUMMYFUNCTION("""COMPUTED_VALUE"""),6672.0)</f>
        <v>6672</v>
      </c>
      <c r="B72" s="11" t="str">
        <f>IFERROR(__xludf.DUMMYFUNCTION("""COMPUTED_VALUE"""),"D")</f>
        <v>D</v>
      </c>
      <c r="C72" s="11" t="str">
        <f>IFERROR(__xludf.DUMMYFUNCTION("""COMPUTED_VALUE"""),"Idzes")</f>
        <v>Idzes</v>
      </c>
      <c r="D72" s="11" t="str">
        <f>IFERROR(__xludf.DUMMYFUNCTION("""COMPUTED_VALUE"""),"Sassuolo")</f>
        <v>Sassuolo</v>
      </c>
      <c r="E72" s="15">
        <f>IFERROR(__xludf.DUMMYFUNCTION("""COMPUTED_VALUE"""),11.0)</f>
        <v>11</v>
      </c>
      <c r="F72" s="17">
        <f>IFERROR(__xludf.DUMMYFUNCTION("""COMPUTED_VALUE"""),0.019)</f>
        <v>0.019</v>
      </c>
      <c r="G72" s="15"/>
      <c r="H72" s="11"/>
      <c r="I72" s="15"/>
    </row>
    <row r="73">
      <c r="A73" s="11">
        <f>IFERROR(__xludf.DUMMYFUNCTION("""COMPUTED_VALUE"""),4664.0)</f>
        <v>4664</v>
      </c>
      <c r="B73" s="11" t="str">
        <f>IFERROR(__xludf.DUMMYFUNCTION("""COMPUTED_VALUE"""),"D")</f>
        <v>D</v>
      </c>
      <c r="C73" s="11" t="str">
        <f>IFERROR(__xludf.DUMMYFUNCTION("""COMPUTED_VALUE"""),"Badiashile")</f>
        <v>Badiashile</v>
      </c>
      <c r="D73" s="11" t="str">
        <f>IFERROR(__xludf.DUMMYFUNCTION("""COMPUTED_VALUE"""),"Napoli")</f>
        <v>Napoli</v>
      </c>
      <c r="E73" s="15">
        <f>IFERROR(__xludf.DUMMYFUNCTION("""COMPUTED_VALUE"""),11.0)</f>
        <v>11</v>
      </c>
      <c r="F73" s="17">
        <f>IFERROR(__xludf.DUMMYFUNCTION("""COMPUTED_VALUE"""),0.018)</f>
        <v>0.018</v>
      </c>
      <c r="G73" s="15"/>
      <c r="H73" s="11"/>
      <c r="I73" s="15"/>
    </row>
    <row r="74">
      <c r="A74" s="11">
        <f>IFERROR(__xludf.DUMMYFUNCTION("""COMPUTED_VALUE"""),7580.0)</f>
        <v>7580</v>
      </c>
      <c r="B74" s="11" t="str">
        <f>IFERROR(__xludf.DUMMYFUNCTION("""COMPUTED_VALUE"""),"D")</f>
        <v>D</v>
      </c>
      <c r="C74" s="11" t="str">
        <f>IFERROR(__xludf.DUMMYFUNCTION("""COMPUTED_VALUE"""),"Sutalo J.")</f>
        <v>Sutalo J.</v>
      </c>
      <c r="D74" s="11" t="str">
        <f>IFERROR(__xludf.DUMMYFUNCTION("""COMPUTED_VALUE"""),"Lazio")</f>
        <v>Lazio</v>
      </c>
      <c r="E74" s="15">
        <f>IFERROR(__xludf.DUMMYFUNCTION("""COMPUTED_VALUE"""),11.0)</f>
        <v>11</v>
      </c>
      <c r="F74" s="17">
        <f>IFERROR(__xludf.DUMMYFUNCTION("""COMPUTED_VALUE"""),0.019)</f>
        <v>0.019</v>
      </c>
      <c r="G74" s="15"/>
      <c r="H74" s="11"/>
      <c r="I74" s="15"/>
    </row>
    <row r="75">
      <c r="A75" s="11">
        <f>IFERROR(__xludf.DUMMYFUNCTION("""COMPUTED_VALUE"""),7219.0)</f>
        <v>7219</v>
      </c>
      <c r="B75" s="11" t="str">
        <f>IFERROR(__xludf.DUMMYFUNCTION("""COMPUTED_VALUE"""),"D")</f>
        <v>D</v>
      </c>
      <c r="C75" s="11" t="str">
        <f>IFERROR(__xludf.DUMMYFUNCTION("""COMPUTED_VALUE"""),"Bernasconi")</f>
        <v>Bernasconi</v>
      </c>
      <c r="D75" s="11" t="str">
        <f>IFERROR(__xludf.DUMMYFUNCTION("""COMPUTED_VALUE"""),"Atalanta")</f>
        <v>Atalanta</v>
      </c>
      <c r="E75" s="15">
        <f>IFERROR(__xludf.DUMMYFUNCTION("""COMPUTED_VALUE"""),11.0)</f>
        <v>11</v>
      </c>
      <c r="F75" s="17">
        <f>IFERROR(__xludf.DUMMYFUNCTION("""COMPUTED_VALUE"""),0.018)</f>
        <v>0.018</v>
      </c>
      <c r="G75" s="15"/>
      <c r="H75" s="11"/>
      <c r="I75" s="15"/>
    </row>
    <row r="76">
      <c r="A76" s="11">
        <f>IFERROR(__xludf.DUMMYFUNCTION("""COMPUTED_VALUE"""),6320.0)</f>
        <v>6320</v>
      </c>
      <c r="B76" s="11" t="str">
        <f>IFERROR(__xludf.DUMMYFUNCTION("""COMPUTED_VALUE"""),"D")</f>
        <v>D</v>
      </c>
      <c r="C76" s="11" t="str">
        <f>IFERROR(__xludf.DUMMYFUNCTION("""COMPUTED_VALUE"""),"Doekhi")</f>
        <v>Doekhi</v>
      </c>
      <c r="D76" s="11" t="str">
        <f>IFERROR(__xludf.DUMMYFUNCTION("""COMPUTED_VALUE"""),"Lazio")</f>
        <v>Lazio</v>
      </c>
      <c r="E76" s="15">
        <f>IFERROR(__xludf.DUMMYFUNCTION("""COMPUTED_VALUE"""),10.0)</f>
        <v>10</v>
      </c>
      <c r="F76" s="17">
        <f>IFERROR(__xludf.DUMMYFUNCTION("""COMPUTED_VALUE"""),0.016)</f>
        <v>0.016</v>
      </c>
      <c r="G76" s="15"/>
      <c r="H76" s="11"/>
      <c r="I76" s="15"/>
    </row>
    <row r="77">
      <c r="A77" s="11">
        <f>IFERROR(__xludf.DUMMYFUNCTION("""COMPUTED_VALUE"""),4887.0)</f>
        <v>4887</v>
      </c>
      <c r="B77" s="11" t="str">
        <f>IFERROR(__xludf.DUMMYFUNCTION("""COMPUTED_VALUE"""),"D")</f>
        <v>D</v>
      </c>
      <c r="C77" s="11" t="str">
        <f>IFERROR(__xludf.DUMMYFUNCTION("""COMPUTED_VALUE"""),"Bellanova")</f>
        <v>Bellanova</v>
      </c>
      <c r="D77" s="11" t="str">
        <f>IFERROR(__xludf.DUMMYFUNCTION("""COMPUTED_VALUE"""),"Atalanta")</f>
        <v>Atalanta</v>
      </c>
      <c r="E77" s="15">
        <f>IFERROR(__xludf.DUMMYFUNCTION("""COMPUTED_VALUE"""),10.0)</f>
        <v>10</v>
      </c>
      <c r="F77" s="17">
        <f>IFERROR(__xludf.DUMMYFUNCTION("""COMPUTED_VALUE"""),0.017)</f>
        <v>0.017</v>
      </c>
      <c r="G77" s="15"/>
      <c r="H77" s="11"/>
      <c r="I77" s="15"/>
    </row>
    <row r="78">
      <c r="A78" s="11">
        <f>IFERROR(__xludf.DUMMYFUNCTION("""COMPUTED_VALUE"""),5701.0)</f>
        <v>5701</v>
      </c>
      <c r="B78" s="11" t="str">
        <f>IFERROR(__xludf.DUMMYFUNCTION("""COMPUTED_VALUE"""),"D")</f>
        <v>D</v>
      </c>
      <c r="C78" s="11" t="str">
        <f>IFERROR(__xludf.DUMMYFUNCTION("""COMPUTED_VALUE"""),"Obert")</f>
        <v>Obert</v>
      </c>
      <c r="D78" s="11" t="str">
        <f>IFERROR(__xludf.DUMMYFUNCTION("""COMPUTED_VALUE"""),"Cagliari")</f>
        <v>Cagliari</v>
      </c>
      <c r="E78" s="15">
        <f>IFERROR(__xludf.DUMMYFUNCTION("""COMPUTED_VALUE"""),9.0)</f>
        <v>9</v>
      </c>
      <c r="F78" s="17">
        <f>IFERROR(__xludf.DUMMYFUNCTION("""COMPUTED_VALUE"""),0.015)</f>
        <v>0.015</v>
      </c>
      <c r="G78" s="15"/>
      <c r="H78" s="11"/>
      <c r="I78" s="15"/>
    </row>
    <row r="79">
      <c r="A79" s="11">
        <f>IFERROR(__xludf.DUMMYFUNCTION("""COMPUTED_VALUE"""),7469.0)</f>
        <v>7469</v>
      </c>
      <c r="B79" s="11" t="str">
        <f>IFERROR(__xludf.DUMMYFUNCTION("""COMPUTED_VALUE"""),"D")</f>
        <v>D</v>
      </c>
      <c r="C79" s="11" t="str">
        <f>IFERROR(__xludf.DUMMYFUNCTION("""COMPUTED_VALUE"""),"Bracaglia")</f>
        <v>Bracaglia</v>
      </c>
      <c r="D79" s="11" t="str">
        <f>IFERROR(__xludf.DUMMYFUNCTION("""COMPUTED_VALUE"""),"Frosinone")</f>
        <v>Frosinone</v>
      </c>
      <c r="E79" s="15">
        <f>IFERROR(__xludf.DUMMYFUNCTION("""COMPUTED_VALUE"""),9.0)</f>
        <v>9</v>
      </c>
      <c r="F79" s="17">
        <f>IFERROR(__xludf.DUMMYFUNCTION("""COMPUTED_VALUE"""),0.015)</f>
        <v>0.015</v>
      </c>
      <c r="G79" s="15"/>
      <c r="H79" s="11"/>
      <c r="I79" s="15"/>
    </row>
    <row r="80">
      <c r="A80" s="11">
        <f>IFERROR(__xludf.DUMMYFUNCTION("""COMPUTED_VALUE"""),4401.0)</f>
        <v>4401</v>
      </c>
      <c r="B80" s="11" t="str">
        <f>IFERROR(__xludf.DUMMYFUNCTION("""COMPUTED_VALUE"""),"D")</f>
        <v>D</v>
      </c>
      <c r="C80" s="11" t="str">
        <f>IFERROR(__xludf.DUMMYFUNCTION("""COMPUTED_VALUE"""),"Gabbia")</f>
        <v>Gabbia</v>
      </c>
      <c r="D80" s="11" t="str">
        <f>IFERROR(__xludf.DUMMYFUNCTION("""COMPUTED_VALUE"""),"Milan")</f>
        <v>Milan</v>
      </c>
      <c r="E80" s="15">
        <f>IFERROR(__xludf.DUMMYFUNCTION("""COMPUTED_VALUE"""),9.0)</f>
        <v>9</v>
      </c>
      <c r="F80" s="17">
        <f>IFERROR(__xludf.DUMMYFUNCTION("""COMPUTED_VALUE"""),0.015)</f>
        <v>0.015</v>
      </c>
      <c r="G80" s="15"/>
      <c r="H80" s="11"/>
      <c r="I80" s="15"/>
    </row>
    <row r="81">
      <c r="A81" s="11">
        <f>IFERROR(__xludf.DUMMYFUNCTION("""COMPUTED_VALUE"""),7212.0)</f>
        <v>7212</v>
      </c>
      <c r="B81" s="11" t="str">
        <f>IFERROR(__xludf.DUMMYFUNCTION("""COMPUTED_VALUE"""),"D")</f>
        <v>D</v>
      </c>
      <c r="C81" s="11" t="str">
        <f>IFERROR(__xludf.DUMMYFUNCTION("""COMPUTED_VALUE"""),"Heggem")</f>
        <v>Heggem</v>
      </c>
      <c r="D81" s="11" t="str">
        <f>IFERROR(__xludf.DUMMYFUNCTION("""COMPUTED_VALUE"""),"Bologna")</f>
        <v>Bologna</v>
      </c>
      <c r="E81" s="15">
        <f>IFERROR(__xludf.DUMMYFUNCTION("""COMPUTED_VALUE"""),9.0)</f>
        <v>9</v>
      </c>
      <c r="F81" s="17">
        <f>IFERROR(__xludf.DUMMYFUNCTION("""COMPUTED_VALUE"""),0.015)</f>
        <v>0.015</v>
      </c>
      <c r="G81" s="15"/>
      <c r="H81" s="11"/>
      <c r="I81" s="15"/>
    </row>
    <row r="82">
      <c r="A82" s="11">
        <f>IFERROR(__xludf.DUMMYFUNCTION("""COMPUTED_VALUE"""),2724.0)</f>
        <v>2724</v>
      </c>
      <c r="B82" s="11" t="str">
        <f>IFERROR(__xludf.DUMMYFUNCTION("""COMPUTED_VALUE"""),"D")</f>
        <v>D</v>
      </c>
      <c r="C82" s="11" t="str">
        <f>IFERROR(__xludf.DUMMYFUNCTION("""COMPUTED_VALUE"""),"Buongiorno")</f>
        <v>Buongiorno</v>
      </c>
      <c r="D82" s="11" t="str">
        <f>IFERROR(__xludf.DUMMYFUNCTION("""COMPUTED_VALUE"""),"Napoli")</f>
        <v>Napoli</v>
      </c>
      <c r="E82" s="15">
        <f>IFERROR(__xludf.DUMMYFUNCTION("""COMPUTED_VALUE"""),9.0)</f>
        <v>9</v>
      </c>
      <c r="F82" s="17">
        <f>IFERROR(__xludf.DUMMYFUNCTION("""COMPUTED_VALUE"""),0.015)</f>
        <v>0.015</v>
      </c>
      <c r="G82" s="15"/>
      <c r="H82" s="11"/>
      <c r="I82" s="15"/>
    </row>
    <row r="83">
      <c r="A83" s="11">
        <f>IFERROR(__xludf.DUMMYFUNCTION("""COMPUTED_VALUE"""),4147.0)</f>
        <v>4147</v>
      </c>
      <c r="B83" s="11" t="str">
        <f>IFERROR(__xludf.DUMMYFUNCTION("""COMPUTED_VALUE"""),"D")</f>
        <v>D</v>
      </c>
      <c r="C83" s="11" t="str">
        <f>IFERROR(__xludf.DUMMYFUNCTION("""COMPUTED_VALUE"""),"Caleta-Car")</f>
        <v>Caleta-Car</v>
      </c>
      <c r="D83" s="11" t="str">
        <f>IFERROR(__xludf.DUMMYFUNCTION("""COMPUTED_VALUE"""),"Sassuolo")</f>
        <v>Sassuolo</v>
      </c>
      <c r="E83" s="15">
        <f>IFERROR(__xludf.DUMMYFUNCTION("""COMPUTED_VALUE"""),9.0)</f>
        <v>9</v>
      </c>
      <c r="F83" s="17">
        <f>IFERROR(__xludf.DUMMYFUNCTION("""COMPUTED_VALUE"""),0.015)</f>
        <v>0.015</v>
      </c>
      <c r="G83" s="15"/>
      <c r="H83" s="11"/>
      <c r="I83" s="15"/>
    </row>
    <row r="84">
      <c r="A84" s="11">
        <f>IFERROR(__xludf.DUMMYFUNCTION("""COMPUTED_VALUE"""),6642.0)</f>
        <v>6642</v>
      </c>
      <c r="B84" s="11" t="str">
        <f>IFERROR(__xludf.DUMMYFUNCTION("""COMPUTED_VALUE"""),"D")</f>
        <v>D</v>
      </c>
      <c r="C84" s="11" t="str">
        <f>IFERROR(__xludf.DUMMYFUNCTION("""COMPUTED_VALUE"""),"Coco")</f>
        <v>Coco</v>
      </c>
      <c r="D84" s="11" t="str">
        <f>IFERROR(__xludf.DUMMYFUNCTION("""COMPUTED_VALUE"""),"Torino")</f>
        <v>Torino</v>
      </c>
      <c r="E84" s="15">
        <f>IFERROR(__xludf.DUMMYFUNCTION("""COMPUTED_VALUE"""),8.0)</f>
        <v>8</v>
      </c>
      <c r="F84" s="17">
        <f>IFERROR(__xludf.DUMMYFUNCTION("""COMPUTED_VALUE"""),0.014)</f>
        <v>0.014</v>
      </c>
      <c r="G84" s="15"/>
      <c r="H84" s="11"/>
      <c r="I84" s="15"/>
    </row>
    <row r="85">
      <c r="A85" s="11">
        <f>IFERROR(__xludf.DUMMYFUNCTION("""COMPUTED_VALUE"""),5010.0)</f>
        <v>5010</v>
      </c>
      <c r="B85" s="11" t="str">
        <f>IFERROR(__xludf.DUMMYFUNCTION("""COMPUTED_VALUE"""),"D")</f>
        <v>D</v>
      </c>
      <c r="C85" s="11" t="str">
        <f>IFERROR(__xludf.DUMMYFUNCTION("""COMPUTED_VALUE"""),"Ismajli")</f>
        <v>Ismajli</v>
      </c>
      <c r="D85" s="11" t="str">
        <f>IFERROR(__xludf.DUMMYFUNCTION("""COMPUTED_VALUE"""),"Torino")</f>
        <v>Torino</v>
      </c>
      <c r="E85" s="15">
        <f>IFERROR(__xludf.DUMMYFUNCTION("""COMPUTED_VALUE"""),8.0)</f>
        <v>8</v>
      </c>
      <c r="F85" s="17">
        <f>IFERROR(__xludf.DUMMYFUNCTION("""COMPUTED_VALUE"""),0.013)</f>
        <v>0.013</v>
      </c>
      <c r="G85" s="15"/>
      <c r="H85" s="11"/>
      <c r="I85" s="15"/>
    </row>
    <row r="86">
      <c r="A86" s="11">
        <f>IFERROR(__xludf.DUMMYFUNCTION("""COMPUTED_VALUE"""),5678.0)</f>
        <v>5678</v>
      </c>
      <c r="B86" s="11" t="str">
        <f>IFERROR(__xludf.DUMMYFUNCTION("""COMPUTED_VALUE"""),"D")</f>
        <v>D</v>
      </c>
      <c r="C86" s="11" t="str">
        <f>IFERROR(__xludf.DUMMYFUNCTION("""COMPUTED_VALUE"""),"Holm")</f>
        <v>Holm</v>
      </c>
      <c r="D86" s="11" t="str">
        <f>IFERROR(__xludf.DUMMYFUNCTION("""COMPUTED_VALUE"""),"Bologna")</f>
        <v>Bologna</v>
      </c>
      <c r="E86" s="15">
        <f>IFERROR(__xludf.DUMMYFUNCTION("""COMPUTED_VALUE"""),8.0)</f>
        <v>8</v>
      </c>
      <c r="F86" s="17">
        <f>IFERROR(__xludf.DUMMYFUNCTION("""COMPUTED_VALUE"""),0.013)</f>
        <v>0.013</v>
      </c>
      <c r="G86" s="15"/>
      <c r="H86" s="11"/>
      <c r="I86" s="15"/>
    </row>
    <row r="87">
      <c r="A87" s="11">
        <f>IFERROR(__xludf.DUMMYFUNCTION("""COMPUTED_VALUE"""),7414.0)</f>
        <v>7414</v>
      </c>
      <c r="B87" s="11" t="str">
        <f>IFERROR(__xludf.DUMMYFUNCTION("""COMPUTED_VALUE"""),"D")</f>
        <v>D</v>
      </c>
      <c r="C87" s="11" t="str">
        <f>IFERROR(__xludf.DUMMYFUNCTION("""COMPUTED_VALUE"""),"Kaiki")</f>
        <v>Kaiki</v>
      </c>
      <c r="D87" s="11" t="str">
        <f>IFERROR(__xludf.DUMMYFUNCTION("""COMPUTED_VALUE"""),"Como")</f>
        <v>Como</v>
      </c>
      <c r="E87" s="15">
        <f>IFERROR(__xludf.DUMMYFUNCTION("""COMPUTED_VALUE"""),8.0)</f>
        <v>8</v>
      </c>
      <c r="F87" s="17">
        <f>IFERROR(__xludf.DUMMYFUNCTION("""COMPUTED_VALUE"""),0.013)</f>
        <v>0.013</v>
      </c>
      <c r="G87" s="15"/>
      <c r="H87" s="11"/>
      <c r="I87" s="15"/>
    </row>
    <row r="88">
      <c r="A88" s="11">
        <f>IFERROR(__xludf.DUMMYFUNCTION("""COMPUTED_VALUE"""),4177.0)</f>
        <v>4177</v>
      </c>
      <c r="B88" s="11" t="str">
        <f>IFERROR(__xludf.DUMMYFUNCTION("""COMPUTED_VALUE"""),"D")</f>
        <v>D</v>
      </c>
      <c r="C88" s="11" t="str">
        <f>IFERROR(__xludf.DUMMYFUNCTION("""COMPUTED_VALUE"""),"Pavard")</f>
        <v>Pavard</v>
      </c>
      <c r="D88" s="11" t="str">
        <f>IFERROR(__xludf.DUMMYFUNCTION("""COMPUTED_VALUE"""),"Inter")</f>
        <v>Inter</v>
      </c>
      <c r="E88" s="15">
        <f>IFERROR(__xludf.DUMMYFUNCTION("""COMPUTED_VALUE"""),8.0)</f>
        <v>8</v>
      </c>
      <c r="F88" s="17">
        <f>IFERROR(__xludf.DUMMYFUNCTION("""COMPUTED_VALUE"""),0.014)</f>
        <v>0.014</v>
      </c>
      <c r="G88" s="15"/>
      <c r="H88" s="11"/>
      <c r="I88" s="15"/>
    </row>
    <row r="89">
      <c r="A89" s="11">
        <f>IFERROR(__xludf.DUMMYFUNCTION("""COMPUTED_VALUE"""),4817.0)</f>
        <v>4817</v>
      </c>
      <c r="B89" s="11" t="str">
        <f>IFERROR(__xludf.DUMMYFUNCTION("""COMPUTED_VALUE"""),"D")</f>
        <v>D</v>
      </c>
      <c r="C89" s="11" t="str">
        <f>IFERROR(__xludf.DUMMYFUNCTION("""COMPUTED_VALUE"""),"Pedraza")</f>
        <v>Pedraza</v>
      </c>
      <c r="D89" s="11" t="str">
        <f>IFERROR(__xludf.DUMMYFUNCTION("""COMPUTED_VALUE"""),"Lazio")</f>
        <v>Lazio</v>
      </c>
      <c r="E89" s="15">
        <f>IFERROR(__xludf.DUMMYFUNCTION("""COMPUTED_VALUE"""),8.0)</f>
        <v>8</v>
      </c>
      <c r="F89" s="17">
        <f>IFERROR(__xludf.DUMMYFUNCTION("""COMPUTED_VALUE"""),0.014)</f>
        <v>0.014</v>
      </c>
      <c r="G89" s="15"/>
      <c r="H89" s="11"/>
      <c r="I89" s="15"/>
    </row>
    <row r="90">
      <c r="A90" s="11">
        <f>IFERROR(__xludf.DUMMYFUNCTION("""COMPUTED_VALUE"""),7329.0)</f>
        <v>7329</v>
      </c>
      <c r="B90" s="11" t="str">
        <f>IFERROR(__xludf.DUMMYFUNCTION("""COMPUTED_VALUE"""),"D")</f>
        <v>D</v>
      </c>
      <c r="C90" s="11" t="str">
        <f>IFERROR(__xludf.DUMMYFUNCTION("""COMPUTED_VALUE"""),"Obrador")</f>
        <v>Obrador</v>
      </c>
      <c r="D90" s="11" t="str">
        <f>IFERROR(__xludf.DUMMYFUNCTION("""COMPUTED_VALUE"""),"Sassuolo")</f>
        <v>Sassuolo</v>
      </c>
      <c r="E90" s="15">
        <f>IFERROR(__xludf.DUMMYFUNCTION("""COMPUTED_VALUE"""),8.0)</f>
        <v>8</v>
      </c>
      <c r="F90" s="17">
        <f>IFERROR(__xludf.DUMMYFUNCTION("""COMPUTED_VALUE"""),0.013)</f>
        <v>0.013</v>
      </c>
      <c r="G90" s="15"/>
      <c r="H90" s="11"/>
      <c r="I90" s="15"/>
    </row>
    <row r="91">
      <c r="A91" s="11">
        <f>IFERROR(__xludf.DUMMYFUNCTION("""COMPUTED_VALUE"""),7274.0)</f>
        <v>7274</v>
      </c>
      <c r="B91" s="11" t="str">
        <f>IFERROR(__xludf.DUMMYFUNCTION("""COMPUTED_VALUE"""),"D")</f>
        <v>D</v>
      </c>
      <c r="C91" s="11" t="str">
        <f>IFERROR(__xludf.DUMMYFUNCTION("""COMPUTED_VALUE"""),"Zè Pedro")</f>
        <v>Zè Pedro</v>
      </c>
      <c r="D91" s="11" t="str">
        <f>IFERROR(__xludf.DUMMYFUNCTION("""COMPUTED_VALUE"""),"Cagliari")</f>
        <v>Cagliari</v>
      </c>
      <c r="E91" s="15">
        <f>IFERROR(__xludf.DUMMYFUNCTION("""COMPUTED_VALUE"""),8.0)</f>
        <v>8</v>
      </c>
      <c r="F91" s="17">
        <f>IFERROR(__xludf.DUMMYFUNCTION("""COMPUTED_VALUE"""),0.013)</f>
        <v>0.013</v>
      </c>
      <c r="G91" s="15"/>
      <c r="H91" s="11"/>
      <c r="I91" s="15"/>
    </row>
    <row r="92">
      <c r="A92" s="11">
        <f>IFERROR(__xludf.DUMMYFUNCTION("""COMPUTED_VALUE"""),7467.0)</f>
        <v>7467</v>
      </c>
      <c r="B92" s="11" t="str">
        <f>IFERROR(__xludf.DUMMYFUNCTION("""COMPUTED_VALUE"""),"D")</f>
        <v>D</v>
      </c>
      <c r="C92" s="11" t="str">
        <f>IFERROR(__xludf.DUMMYFUNCTION("""COMPUTED_VALUE"""),"Calvani")</f>
        <v>Calvani</v>
      </c>
      <c r="D92" s="11" t="str">
        <f>IFERROR(__xludf.DUMMYFUNCTION("""COMPUTED_VALUE"""),"Frosinone")</f>
        <v>Frosinone</v>
      </c>
      <c r="E92" s="15">
        <f>IFERROR(__xludf.DUMMYFUNCTION("""COMPUTED_VALUE"""),8.0)</f>
        <v>8</v>
      </c>
      <c r="F92" s="17">
        <f>IFERROR(__xludf.DUMMYFUNCTION("""COMPUTED_VALUE"""),0.013)</f>
        <v>0.013</v>
      </c>
      <c r="G92" s="15"/>
      <c r="H92" s="11"/>
      <c r="I92" s="15"/>
    </row>
    <row r="93">
      <c r="A93" s="11">
        <f>IFERROR(__xludf.DUMMYFUNCTION("""COMPUTED_VALUE"""),5840.0)</f>
        <v>5840</v>
      </c>
      <c r="B93" s="11" t="str">
        <f>IFERROR(__xludf.DUMMYFUNCTION("""COMPUTED_VALUE"""),"D")</f>
        <v>D</v>
      </c>
      <c r="C93" s="11" t="str">
        <f>IFERROR(__xludf.DUMMYFUNCTION("""COMPUTED_VALUE"""),"Olivera")</f>
        <v>Olivera</v>
      </c>
      <c r="D93" s="11" t="str">
        <f>IFERROR(__xludf.DUMMYFUNCTION("""COMPUTED_VALUE"""),"Napoli")</f>
        <v>Napoli</v>
      </c>
      <c r="E93" s="15">
        <f>IFERROR(__xludf.DUMMYFUNCTION("""COMPUTED_VALUE"""),8.0)</f>
        <v>8</v>
      </c>
      <c r="F93" s="17">
        <f>IFERROR(__xludf.DUMMYFUNCTION("""COMPUTED_VALUE"""),0.013)</f>
        <v>0.013</v>
      </c>
      <c r="G93" s="15"/>
      <c r="H93" s="11"/>
      <c r="I93" s="15"/>
    </row>
    <row r="94">
      <c r="A94" s="11">
        <f>IFERROR(__xludf.DUMMYFUNCTION("""COMPUTED_VALUE"""),7253.0)</f>
        <v>7253</v>
      </c>
      <c r="B94" s="11" t="str">
        <f>IFERROR(__xludf.DUMMYFUNCTION("""COMPUTED_VALUE"""),"D")</f>
        <v>D</v>
      </c>
      <c r="C94" s="11" t="str">
        <f>IFERROR(__xludf.DUMMYFUNCTION("""COMPUTED_VALUE"""),"Bella-Kotchap")</f>
        <v>Bella-Kotchap</v>
      </c>
      <c r="D94" s="11" t="str">
        <f>IFERROR(__xludf.DUMMYFUNCTION("""COMPUTED_VALUE"""),"Venezia")</f>
        <v>Venezia</v>
      </c>
      <c r="E94" s="15">
        <f>IFERROR(__xludf.DUMMYFUNCTION("""COMPUTED_VALUE"""),8.0)</f>
        <v>8</v>
      </c>
      <c r="F94" s="17">
        <f>IFERROR(__xludf.DUMMYFUNCTION("""COMPUTED_VALUE"""),0.013)</f>
        <v>0.013</v>
      </c>
      <c r="G94" s="15"/>
      <c r="H94" s="11"/>
      <c r="I94" s="15"/>
    </row>
    <row r="95">
      <c r="A95" s="11">
        <f>IFERROR(__xludf.DUMMYFUNCTION("""COMPUTED_VALUE"""),7012.0)</f>
        <v>7012</v>
      </c>
      <c r="B95" s="11" t="str">
        <f>IFERROR(__xludf.DUMMYFUNCTION("""COMPUTED_VALUE"""),"D")</f>
        <v>D</v>
      </c>
      <c r="C95" s="11" t="str">
        <f>IFERROR(__xludf.DUMMYFUNCTION("""COMPUTED_VALUE"""),"Provstgaard")</f>
        <v>Provstgaard</v>
      </c>
      <c r="D95" s="11" t="str">
        <f>IFERROR(__xludf.DUMMYFUNCTION("""COMPUTED_VALUE"""),"Lazio")</f>
        <v>Lazio</v>
      </c>
      <c r="E95" s="15">
        <f>IFERROR(__xludf.DUMMYFUNCTION("""COMPUTED_VALUE"""),8.0)</f>
        <v>8</v>
      </c>
      <c r="F95" s="17">
        <f>IFERROR(__xludf.DUMMYFUNCTION("""COMPUTED_VALUE"""),0.013)</f>
        <v>0.013</v>
      </c>
      <c r="G95" s="15"/>
      <c r="H95" s="11"/>
      <c r="I95" s="15"/>
    </row>
    <row r="96">
      <c r="A96" s="11">
        <f>IFERROR(__xludf.DUMMYFUNCTION("""COMPUTED_VALUE"""),6986.0)</f>
        <v>6986</v>
      </c>
      <c r="B96" s="11" t="str">
        <f>IFERROR(__xludf.DUMMYFUNCTION("""COMPUTED_VALUE"""),"D")</f>
        <v>D</v>
      </c>
      <c r="C96" s="11" t="str">
        <f>IFERROR(__xludf.DUMMYFUNCTION("""COMPUTED_VALUE"""),"Rensch")</f>
        <v>Rensch</v>
      </c>
      <c r="D96" s="11" t="str">
        <f>IFERROR(__xludf.DUMMYFUNCTION("""COMPUTED_VALUE"""),"Roma")</f>
        <v>Roma</v>
      </c>
      <c r="E96" s="15">
        <f>IFERROR(__xludf.DUMMYFUNCTION("""COMPUTED_VALUE"""),8.0)</f>
        <v>8</v>
      </c>
      <c r="F96" s="17">
        <f>IFERROR(__xludf.DUMMYFUNCTION("""COMPUTED_VALUE"""),0.014)</f>
        <v>0.014</v>
      </c>
      <c r="G96" s="15"/>
      <c r="H96" s="11"/>
      <c r="I96" s="15"/>
    </row>
    <row r="97">
      <c r="A97" s="11">
        <f>IFERROR(__xludf.DUMMYFUNCTION("""COMPUTED_VALUE"""),5273.0)</f>
        <v>5273</v>
      </c>
      <c r="B97" s="11" t="str">
        <f>IFERROR(__xludf.DUMMYFUNCTION("""COMPUTED_VALUE"""),"D")</f>
        <v>D</v>
      </c>
      <c r="C97" s="11" t="str">
        <f>IFERROR(__xludf.DUMMYFUNCTION("""COMPUTED_VALUE"""),"Estupinan")</f>
        <v>Estupinan</v>
      </c>
      <c r="D97" s="11" t="str">
        <f>IFERROR(__xludf.DUMMYFUNCTION("""COMPUTED_VALUE"""),"Milan")</f>
        <v>Milan</v>
      </c>
      <c r="E97" s="15">
        <f>IFERROR(__xludf.DUMMYFUNCTION("""COMPUTED_VALUE"""),8.0)</f>
        <v>8</v>
      </c>
      <c r="F97" s="17">
        <f>IFERROR(__xludf.DUMMYFUNCTION("""COMPUTED_VALUE"""),0.013)</f>
        <v>0.013</v>
      </c>
      <c r="G97" s="15"/>
      <c r="H97" s="11"/>
      <c r="I97" s="15"/>
    </row>
    <row r="98">
      <c r="A98" s="11">
        <f>IFERROR(__xludf.DUMMYFUNCTION("""COMPUTED_VALUE"""),7238.0)</f>
        <v>7238</v>
      </c>
      <c r="B98" s="11" t="str">
        <f>IFERROR(__xludf.DUMMYFUNCTION("""COMPUTED_VALUE"""),"D")</f>
        <v>D</v>
      </c>
      <c r="C98" s="11" t="str">
        <f>IFERROR(__xludf.DUMMYFUNCTION("""COMPUTED_VALUE"""),"Kouadio")</f>
        <v>Kouadio</v>
      </c>
      <c r="D98" s="11" t="str">
        <f>IFERROR(__xludf.DUMMYFUNCTION("""COMPUTED_VALUE"""),"Monza")</f>
        <v>Monza</v>
      </c>
      <c r="E98" s="15">
        <f>IFERROR(__xludf.DUMMYFUNCTION("""COMPUTED_VALUE"""),8.0)</f>
        <v>8</v>
      </c>
      <c r="F98" s="17">
        <f>IFERROR(__xludf.DUMMYFUNCTION("""COMPUTED_VALUE"""),0.014)</f>
        <v>0.014</v>
      </c>
      <c r="G98" s="15"/>
      <c r="H98" s="11"/>
      <c r="I98" s="15"/>
    </row>
    <row r="99">
      <c r="A99" s="11">
        <f>IFERROR(__xludf.DUMMYFUNCTION("""COMPUTED_VALUE"""),7235.0)</f>
        <v>7235</v>
      </c>
      <c r="B99" s="11" t="str">
        <f>IFERROR(__xludf.DUMMYFUNCTION("""COMPUTED_VALUE"""),"D")</f>
        <v>D</v>
      </c>
      <c r="C99" s="11" t="str">
        <f>IFERROR(__xludf.DUMMYFUNCTION("""COMPUTED_VALUE"""),"Troilo")</f>
        <v>Troilo</v>
      </c>
      <c r="D99" s="11" t="str">
        <f>IFERROR(__xludf.DUMMYFUNCTION("""COMPUTED_VALUE"""),"Parma")</f>
        <v>Parma</v>
      </c>
      <c r="E99" s="15">
        <f>IFERROR(__xludf.DUMMYFUNCTION("""COMPUTED_VALUE"""),8.0)</f>
        <v>8</v>
      </c>
      <c r="F99" s="17">
        <f>IFERROR(__xludf.DUMMYFUNCTION("""COMPUTED_VALUE"""),0.014)</f>
        <v>0.014</v>
      </c>
      <c r="G99" s="15"/>
      <c r="H99" s="11"/>
      <c r="I99" s="15"/>
    </row>
    <row r="100">
      <c r="A100" s="11">
        <f>IFERROR(__xludf.DUMMYFUNCTION("""COMPUTED_VALUE"""),6046.0)</f>
        <v>6046</v>
      </c>
      <c r="B100" s="11" t="str">
        <f>IFERROR(__xludf.DUMMYFUNCTION("""COMPUTED_VALUE"""),"D")</f>
        <v>D</v>
      </c>
      <c r="C100" s="11" t="str">
        <f>IFERROR(__xludf.DUMMYFUNCTION("""COMPUTED_VALUE"""),"Hien")</f>
        <v>Hien</v>
      </c>
      <c r="D100" s="11" t="str">
        <f>IFERROR(__xludf.DUMMYFUNCTION("""COMPUTED_VALUE"""),"Atalanta")</f>
        <v>Atalanta</v>
      </c>
      <c r="E100" s="15">
        <f>IFERROR(__xludf.DUMMYFUNCTION("""COMPUTED_VALUE"""),7.0)</f>
        <v>7</v>
      </c>
      <c r="F100" s="17">
        <f>IFERROR(__xludf.DUMMYFUNCTION("""COMPUTED_VALUE"""),0.011)</f>
        <v>0.011</v>
      </c>
      <c r="G100" s="15"/>
      <c r="H100" s="11"/>
      <c r="I100" s="15"/>
    </row>
    <row r="101">
      <c r="A101" s="11">
        <f>IFERROR(__xludf.DUMMYFUNCTION("""COMPUTED_VALUE"""),7410.0)</f>
        <v>7410</v>
      </c>
      <c r="B101" s="11" t="str">
        <f>IFERROR(__xludf.DUMMYFUNCTION("""COMPUTED_VALUE"""),"D")</f>
        <v>D</v>
      </c>
      <c r="C101" s="11" t="str">
        <f>IFERROR(__xludf.DUMMYFUNCTION("""COMPUTED_VALUE"""),"Viery")</f>
        <v>Viery</v>
      </c>
      <c r="D101" s="11" t="str">
        <f>IFERROR(__xludf.DUMMYFUNCTION("""COMPUTED_VALUE"""),"Fiorentina")</f>
        <v>Fiorentina</v>
      </c>
      <c r="E101" s="15">
        <f>IFERROR(__xludf.DUMMYFUNCTION("""COMPUTED_VALUE"""),7.0)</f>
        <v>7</v>
      </c>
      <c r="F101" s="17">
        <f>IFERROR(__xludf.DUMMYFUNCTION("""COMPUTED_VALUE"""),0.012)</f>
        <v>0.012</v>
      </c>
      <c r="G101" s="15"/>
      <c r="H101" s="11"/>
      <c r="I101" s="15"/>
    </row>
    <row r="102">
      <c r="A102" s="11">
        <f>IFERROR(__xludf.DUMMYFUNCTION("""COMPUTED_VALUE"""),6990.0)</f>
        <v>6990</v>
      </c>
      <c r="B102" s="11" t="str">
        <f>IFERROR(__xludf.DUMMYFUNCTION("""COMPUTED_VALUE"""),"D")</f>
        <v>D</v>
      </c>
      <c r="C102" s="11" t="str">
        <f>IFERROR(__xludf.DUMMYFUNCTION("""COMPUTED_VALUE"""),"Veiga D.")</f>
        <v>Veiga D.</v>
      </c>
      <c r="D102" s="11" t="str">
        <f>IFERROR(__xludf.DUMMYFUNCTION("""COMPUTED_VALUE"""),"Lecce")</f>
        <v>Lecce</v>
      </c>
      <c r="E102" s="15">
        <f>IFERROR(__xludf.DUMMYFUNCTION("""COMPUTED_VALUE"""),7.0)</f>
        <v>7</v>
      </c>
      <c r="F102" s="17">
        <f>IFERROR(__xludf.DUMMYFUNCTION("""COMPUTED_VALUE"""),0.012)</f>
        <v>0.012</v>
      </c>
      <c r="G102" s="15"/>
      <c r="H102" s="11"/>
      <c r="I102" s="15"/>
    </row>
    <row r="103">
      <c r="A103" s="11">
        <f>IFERROR(__xludf.DUMMYFUNCTION("""COMPUTED_VALUE"""),6202.0)</f>
        <v>6202</v>
      </c>
      <c r="B103" s="11" t="str">
        <f>IFERROR(__xludf.DUMMYFUNCTION("""COMPUTED_VALUE"""),"D")</f>
        <v>D</v>
      </c>
      <c r="C103" s="11" t="str">
        <f>IFERROR(__xludf.DUMMYFUNCTION("""COMPUTED_VALUE"""),"Beukema")</f>
        <v>Beukema</v>
      </c>
      <c r="D103" s="11" t="str">
        <f>IFERROR(__xludf.DUMMYFUNCTION("""COMPUTED_VALUE"""),"Napoli")</f>
        <v>Napoli</v>
      </c>
      <c r="E103" s="15">
        <f>IFERROR(__xludf.DUMMYFUNCTION("""COMPUTED_VALUE"""),7.0)</f>
        <v>7</v>
      </c>
      <c r="F103" s="17">
        <f>IFERROR(__xludf.DUMMYFUNCTION("""COMPUTED_VALUE"""),0.012)</f>
        <v>0.012</v>
      </c>
      <c r="G103" s="15"/>
      <c r="H103" s="11"/>
      <c r="I103" s="15"/>
    </row>
    <row r="104">
      <c r="A104" s="11">
        <f>IFERROR(__xludf.DUMMYFUNCTION("""COMPUTED_VALUE"""),7564.0)</f>
        <v>7564</v>
      </c>
      <c r="B104" s="11" t="str">
        <f>IFERROR(__xludf.DUMMYFUNCTION("""COMPUTED_VALUE"""),"D")</f>
        <v>D</v>
      </c>
      <c r="C104" s="11" t="str">
        <f>IFERROR(__xludf.DUMMYFUNCTION("""COMPUTED_VALUE"""),"Leysen F.")</f>
        <v>Leysen F.</v>
      </c>
      <c r="D104" s="11" t="str">
        <f>IFERROR(__xludf.DUMMYFUNCTION("""COMPUTED_VALUE"""),"Sassuolo")</f>
        <v>Sassuolo</v>
      </c>
      <c r="E104" s="15">
        <f>IFERROR(__xludf.DUMMYFUNCTION("""COMPUTED_VALUE"""),7.0)</f>
        <v>7</v>
      </c>
      <c r="F104" s="17">
        <f>IFERROR(__xludf.DUMMYFUNCTION("""COMPUTED_VALUE"""),0.012)</f>
        <v>0.012</v>
      </c>
      <c r="G104" s="15"/>
      <c r="H104" s="11"/>
      <c r="I104" s="15"/>
    </row>
    <row r="105">
      <c r="A105" s="11">
        <f>IFERROR(__xludf.DUMMYFUNCTION("""COMPUTED_VALUE"""),4705.0)</f>
        <v>4705</v>
      </c>
      <c r="B105" s="11" t="str">
        <f>IFERROR(__xludf.DUMMYFUNCTION("""COMPUTED_VALUE"""),"D")</f>
        <v>D</v>
      </c>
      <c r="C105" s="11" t="str">
        <f>IFERROR(__xludf.DUMMYFUNCTION("""COMPUTED_VALUE"""),"Balerdi")</f>
        <v>Balerdi</v>
      </c>
      <c r="D105" s="11" t="str">
        <f>IFERROR(__xludf.DUMMYFUNCTION("""COMPUTED_VALUE"""),"Roma")</f>
        <v>Roma</v>
      </c>
      <c r="E105" s="15">
        <f>IFERROR(__xludf.DUMMYFUNCTION("""COMPUTED_VALUE"""),7.0)</f>
        <v>7</v>
      </c>
      <c r="F105" s="17">
        <f>IFERROR(__xludf.DUMMYFUNCTION("""COMPUTED_VALUE"""),0.011)</f>
        <v>0.011</v>
      </c>
      <c r="G105" s="15"/>
      <c r="H105" s="11"/>
      <c r="I105" s="15"/>
    </row>
    <row r="106">
      <c r="A106" s="11">
        <f>IFERROR(__xludf.DUMMYFUNCTION("""COMPUTED_VALUE"""),6632.0)</f>
        <v>6632</v>
      </c>
      <c r="B106" s="11" t="str">
        <f>IFERROR(__xludf.DUMMYFUNCTION("""COMPUTED_VALUE"""),"D")</f>
        <v>D</v>
      </c>
      <c r="C106" s="11" t="str">
        <f>IFERROR(__xludf.DUMMYFUNCTION("""COMPUTED_VALUE"""),"Gaspar K.")</f>
        <v>Gaspar K.</v>
      </c>
      <c r="D106" s="11" t="str">
        <f>IFERROR(__xludf.DUMMYFUNCTION("""COMPUTED_VALUE"""),"Lecce")</f>
        <v>Lecce</v>
      </c>
      <c r="E106" s="15">
        <f>IFERROR(__xludf.DUMMYFUNCTION("""COMPUTED_VALUE"""),7.0)</f>
        <v>7</v>
      </c>
      <c r="F106" s="17">
        <f>IFERROR(__xludf.DUMMYFUNCTION("""COMPUTED_VALUE"""),0.012)</f>
        <v>0.012</v>
      </c>
      <c r="G106" s="15"/>
      <c r="H106" s="11"/>
      <c r="I106" s="15"/>
    </row>
    <row r="107">
      <c r="A107" s="11">
        <f>IFERROR(__xludf.DUMMYFUNCTION("""COMPUTED_VALUE"""),4845.0)</f>
        <v>4845</v>
      </c>
      <c r="B107" s="11" t="str">
        <f>IFERROR(__xludf.DUMMYFUNCTION("""COMPUTED_VALUE"""),"D")</f>
        <v>D</v>
      </c>
      <c r="C107" s="13" t="str">
        <f>IFERROR(__xludf.DUMMYFUNCTION("""COMPUTED_VALUE"""),"Correia T.")</f>
        <v>Correia T.</v>
      </c>
      <c r="D107" s="11" t="str">
        <f>IFERROR(__xludf.DUMMYFUNCTION("""COMPUTED_VALUE"""),"Venezia")</f>
        <v>Venezia</v>
      </c>
      <c r="E107" s="15">
        <f>IFERROR(__xludf.DUMMYFUNCTION("""COMPUTED_VALUE"""),7.0)</f>
        <v>7</v>
      </c>
      <c r="F107" s="17">
        <f>IFERROR(__xludf.DUMMYFUNCTION("""COMPUTED_VALUE"""),0.012)</f>
        <v>0.012</v>
      </c>
      <c r="G107" s="15"/>
      <c r="H107" s="11"/>
      <c r="I107" s="15"/>
    </row>
    <row r="108">
      <c r="A108" s="11">
        <f>IFERROR(__xludf.DUMMYFUNCTION("""COMPUTED_VALUE"""),5751.0)</f>
        <v>5751</v>
      </c>
      <c r="B108" s="11" t="str">
        <f>IFERROR(__xludf.DUMMYFUNCTION("""COMPUTED_VALUE"""),"D")</f>
        <v>D</v>
      </c>
      <c r="C108" s="11" t="str">
        <f>IFERROR(__xludf.DUMMYFUNCTION("""COMPUTED_VALUE"""),"Patterson")</f>
        <v>Patterson</v>
      </c>
      <c r="D108" s="11" t="str">
        <f>IFERROR(__xludf.DUMMYFUNCTION("""COMPUTED_VALUE"""),"Torino")</f>
        <v>Torino</v>
      </c>
      <c r="E108" s="15">
        <f>IFERROR(__xludf.DUMMYFUNCTION("""COMPUTED_VALUE"""),7.0)</f>
        <v>7</v>
      </c>
      <c r="F108" s="17">
        <f>IFERROR(__xludf.DUMMYFUNCTION("""COMPUTED_VALUE"""),0.012)</f>
        <v>0.012</v>
      </c>
      <c r="G108" s="15"/>
      <c r="H108" s="11"/>
      <c r="I108" s="15"/>
    </row>
    <row r="109">
      <c r="A109" s="11">
        <f>IFERROR(__xludf.DUMMYFUNCTION("""COMPUTED_VALUE"""),2169.0)</f>
        <v>2169</v>
      </c>
      <c r="B109" s="11" t="str">
        <f>IFERROR(__xludf.DUMMYFUNCTION("""COMPUTED_VALUE"""),"D")</f>
        <v>D</v>
      </c>
      <c r="C109" s="11" t="str">
        <f>IFERROR(__xludf.DUMMYFUNCTION("""COMPUTED_VALUE"""),"Rodriguez R.")</f>
        <v>Rodriguez R.</v>
      </c>
      <c r="D109" s="11" t="str">
        <f>IFERROR(__xludf.DUMMYFUNCTION("""COMPUTED_VALUE"""),"Torino")</f>
        <v>Torino</v>
      </c>
      <c r="E109" s="15">
        <f>IFERROR(__xludf.DUMMYFUNCTION("""COMPUTED_VALUE"""),7.0)</f>
        <v>7</v>
      </c>
      <c r="F109" s="17">
        <f>IFERROR(__xludf.DUMMYFUNCTION("""COMPUTED_VALUE"""),0.012)</f>
        <v>0.012</v>
      </c>
      <c r="G109" s="15"/>
      <c r="H109" s="11"/>
      <c r="I109" s="15"/>
    </row>
    <row r="110">
      <c r="A110" s="11">
        <f>IFERROR(__xludf.DUMMYFUNCTION("""COMPUTED_VALUE"""),5578.0)</f>
        <v>5578</v>
      </c>
      <c r="B110" s="11" t="str">
        <f>IFERROR(__xludf.DUMMYFUNCTION("""COMPUTED_VALUE"""),"D")</f>
        <v>D</v>
      </c>
      <c r="C110" s="11" t="str">
        <f>IFERROR(__xludf.DUMMYFUNCTION("""COMPUTED_VALUE"""),"Kossounou")</f>
        <v>Kossounou</v>
      </c>
      <c r="D110" s="11" t="str">
        <f>IFERROR(__xludf.DUMMYFUNCTION("""COMPUTED_VALUE"""),"Atalanta")</f>
        <v>Atalanta</v>
      </c>
      <c r="E110" s="15">
        <f>IFERROR(__xludf.DUMMYFUNCTION("""COMPUTED_VALUE"""),7.0)</f>
        <v>7</v>
      </c>
      <c r="F110" s="17">
        <f>IFERROR(__xludf.DUMMYFUNCTION("""COMPUTED_VALUE"""),0.012)</f>
        <v>0.012</v>
      </c>
      <c r="G110" s="15"/>
      <c r="H110" s="11"/>
      <c r="I110" s="15"/>
    </row>
    <row r="111">
      <c r="A111" s="11">
        <f>IFERROR(__xludf.DUMMYFUNCTION("""COMPUTED_VALUE"""),7240.0)</f>
        <v>7240</v>
      </c>
      <c r="B111" s="11" t="str">
        <f>IFERROR(__xludf.DUMMYFUNCTION("""COMPUTED_VALUE"""),"D")</f>
        <v>D</v>
      </c>
      <c r="C111" s="11" t="str">
        <f>IFERROR(__xludf.DUMMYFUNCTION("""COMPUTED_VALUE"""),"Siebert")</f>
        <v>Siebert</v>
      </c>
      <c r="D111" s="11" t="str">
        <f>IFERROR(__xludf.DUMMYFUNCTION("""COMPUTED_VALUE"""),"Lecce")</f>
        <v>Lecce</v>
      </c>
      <c r="E111" s="15">
        <f>IFERROR(__xludf.DUMMYFUNCTION("""COMPUTED_VALUE"""),7.0)</f>
        <v>7</v>
      </c>
      <c r="F111" s="17">
        <f>IFERROR(__xludf.DUMMYFUNCTION("""COMPUTED_VALUE"""),0.012)</f>
        <v>0.012</v>
      </c>
      <c r="G111" s="15"/>
      <c r="H111" s="11"/>
      <c r="I111" s="15"/>
    </row>
    <row r="112">
      <c r="A112" s="11">
        <f>IFERROR(__xludf.DUMMYFUNCTION("""COMPUTED_VALUE"""),7526.0)</f>
        <v>7526</v>
      </c>
      <c r="B112" s="11" t="str">
        <f>IFERROR(__xludf.DUMMYFUNCTION("""COMPUTED_VALUE"""),"D")</f>
        <v>D</v>
      </c>
      <c r="C112" s="11" t="str">
        <f>IFERROR(__xludf.DUMMYFUNCTION("""COMPUTED_VALUE"""),"Comert")</f>
        <v>Comert</v>
      </c>
      <c r="D112" s="11" t="str">
        <f>IFERROR(__xludf.DUMMYFUNCTION("""COMPUTED_VALUE"""),"Torino")</f>
        <v>Torino</v>
      </c>
      <c r="E112" s="15">
        <f>IFERROR(__xludf.DUMMYFUNCTION("""COMPUTED_VALUE"""),7.0)</f>
        <v>7</v>
      </c>
      <c r="F112" s="17">
        <f>IFERROR(__xludf.DUMMYFUNCTION("""COMPUTED_VALUE"""),0.012)</f>
        <v>0.012</v>
      </c>
      <c r="G112" s="15"/>
      <c r="H112" s="11"/>
      <c r="I112" s="15"/>
    </row>
    <row r="113">
      <c r="A113" s="11">
        <f>IFERROR(__xludf.DUMMYFUNCTION("""COMPUTED_VALUE"""),7326.0)</f>
        <v>7326</v>
      </c>
      <c r="B113" s="11" t="str">
        <f>IFERROR(__xludf.DUMMYFUNCTION("""COMPUTED_VALUE"""),"D")</f>
        <v>D</v>
      </c>
      <c r="C113" s="11" t="str">
        <f>IFERROR(__xludf.DUMMYFUNCTION("""COMPUTED_VALUE"""),"Helland")</f>
        <v>Helland</v>
      </c>
      <c r="D113" s="11" t="str">
        <f>IFERROR(__xludf.DUMMYFUNCTION("""COMPUTED_VALUE"""),"Bologna")</f>
        <v>Bologna</v>
      </c>
      <c r="E113" s="15">
        <f>IFERROR(__xludf.DUMMYFUNCTION("""COMPUTED_VALUE"""),7.0)</f>
        <v>7</v>
      </c>
      <c r="F113" s="17">
        <f>IFERROR(__xludf.DUMMYFUNCTION("""COMPUTED_VALUE"""),0.012)</f>
        <v>0.012</v>
      </c>
      <c r="G113" s="15"/>
      <c r="H113" s="11"/>
      <c r="I113" s="15"/>
    </row>
    <row r="114">
      <c r="A114" s="11">
        <f>IFERROR(__xludf.DUMMYFUNCTION("""COMPUTED_VALUE"""),7175.0)</f>
        <v>7175</v>
      </c>
      <c r="B114" s="11" t="str">
        <f>IFERROR(__xludf.DUMMYFUNCTION("""COMPUTED_VALUE"""),"D")</f>
        <v>D</v>
      </c>
      <c r="C114" s="11" t="str">
        <f>IFERROR(__xludf.DUMMYFUNCTION("""COMPUTED_VALUE"""),"Joao Mario")</f>
        <v>Joao Mario</v>
      </c>
      <c r="D114" s="11" t="str">
        <f>IFERROR(__xludf.DUMMYFUNCTION("""COMPUTED_VALUE"""),"Fiorentina")</f>
        <v>Fiorentina</v>
      </c>
      <c r="E114" s="15">
        <f>IFERROR(__xludf.DUMMYFUNCTION("""COMPUTED_VALUE"""),7.0)</f>
        <v>7</v>
      </c>
      <c r="F114" s="17">
        <f>IFERROR(__xludf.DUMMYFUNCTION("""COMPUTED_VALUE"""),0.012)</f>
        <v>0.012</v>
      </c>
      <c r="G114" s="15"/>
      <c r="H114" s="11"/>
      <c r="I114" s="15"/>
    </row>
    <row r="115">
      <c r="A115" s="11">
        <f>IFERROR(__xludf.DUMMYFUNCTION("""COMPUTED_VALUE"""),6659.0)</f>
        <v>6659</v>
      </c>
      <c r="B115" s="11" t="str">
        <f>IFERROR(__xludf.DUMMYFUNCTION("""COMPUTED_VALUE"""),"D")</f>
        <v>D</v>
      </c>
      <c r="C115" s="11" t="str">
        <f>IFERROR(__xludf.DUMMYFUNCTION("""COMPUTED_VALUE"""),"Lucchesi")</f>
        <v>Lucchesi</v>
      </c>
      <c r="D115" s="11" t="str">
        <f>IFERROR(__xludf.DUMMYFUNCTION("""COMPUTED_VALUE"""),"Monza")</f>
        <v>Monza</v>
      </c>
      <c r="E115" s="15">
        <f>IFERROR(__xludf.DUMMYFUNCTION("""COMPUTED_VALUE"""),7.0)</f>
        <v>7</v>
      </c>
      <c r="F115" s="17">
        <f>IFERROR(__xludf.DUMMYFUNCTION("""COMPUTED_VALUE"""),0.011)</f>
        <v>0.011</v>
      </c>
      <c r="G115" s="15"/>
      <c r="H115" s="11"/>
      <c r="I115" s="15"/>
    </row>
    <row r="116">
      <c r="A116" s="11">
        <f>IFERROR(__xludf.DUMMYFUNCTION("""COMPUTED_VALUE"""),6925.0)</f>
        <v>6925</v>
      </c>
      <c r="B116" s="11" t="str">
        <f>IFERROR(__xludf.DUMMYFUNCTION("""COMPUTED_VALUE"""),"D")</f>
        <v>D</v>
      </c>
      <c r="C116" s="11" t="str">
        <f>IFERROR(__xludf.DUMMYFUNCTION("""COMPUTED_VALUE"""),"Palma")</f>
        <v>Palma</v>
      </c>
      <c r="D116" s="11" t="str">
        <f>IFERROR(__xludf.DUMMYFUNCTION("""COMPUTED_VALUE"""),"Udinese")</f>
        <v>Udinese</v>
      </c>
      <c r="E116" s="15">
        <f>IFERROR(__xludf.DUMMYFUNCTION("""COMPUTED_VALUE"""),7.0)</f>
        <v>7</v>
      </c>
      <c r="F116" s="17">
        <f>IFERROR(__xludf.DUMMYFUNCTION("""COMPUTED_VALUE"""),0.011)</f>
        <v>0.011</v>
      </c>
      <c r="G116" s="15"/>
      <c r="H116" s="11"/>
      <c r="I116" s="15"/>
    </row>
    <row r="117">
      <c r="A117" s="11">
        <f>IFERROR(__xludf.DUMMYFUNCTION("""COMPUTED_VALUE"""),6896.0)</f>
        <v>6896</v>
      </c>
      <c r="B117" s="11" t="str">
        <f>IFERROR(__xludf.DUMMYFUNCTION("""COMPUTED_VALUE"""),"D")</f>
        <v>D</v>
      </c>
      <c r="C117" s="11" t="str">
        <f>IFERROR(__xludf.DUMMYFUNCTION("""COMPUTED_VALUE"""),"Van Der Brempt")</f>
        <v>Van Der Brempt</v>
      </c>
      <c r="D117" s="11" t="str">
        <f>IFERROR(__xludf.DUMMYFUNCTION("""COMPUTED_VALUE"""),"Sassuolo")</f>
        <v>Sassuolo</v>
      </c>
      <c r="E117" s="15">
        <f>IFERROR(__xludf.DUMMYFUNCTION("""COMPUTED_VALUE"""),7.0)</f>
        <v>7</v>
      </c>
      <c r="F117" s="17">
        <f>IFERROR(__xludf.DUMMYFUNCTION("""COMPUTED_VALUE"""),0.011)</f>
        <v>0.011</v>
      </c>
      <c r="G117" s="15"/>
      <c r="H117" s="11"/>
      <c r="I117" s="15"/>
    </row>
    <row r="118">
      <c r="A118" s="11">
        <f>IFERROR(__xludf.DUMMYFUNCTION("""COMPUTED_VALUE"""),6238.0)</f>
        <v>6238</v>
      </c>
      <c r="B118" s="11" t="str">
        <f>IFERROR(__xludf.DUMMYFUNCTION("""COMPUTED_VALUE"""),"D")</f>
        <v>D</v>
      </c>
      <c r="C118" s="11" t="str">
        <f>IFERROR(__xludf.DUMMYFUNCTION("""COMPUTED_VALUE"""),"Oyono A.")</f>
        <v>Oyono A.</v>
      </c>
      <c r="D118" s="11" t="str">
        <f>IFERROR(__xludf.DUMMYFUNCTION("""COMPUTED_VALUE"""),"Frosinone")</f>
        <v>Frosinone</v>
      </c>
      <c r="E118" s="15">
        <f>IFERROR(__xludf.DUMMYFUNCTION("""COMPUTED_VALUE"""),6.0)</f>
        <v>6</v>
      </c>
      <c r="F118" s="17">
        <f>IFERROR(__xludf.DUMMYFUNCTION("""COMPUTED_VALUE"""),0.01)</f>
        <v>0.01</v>
      </c>
      <c r="G118" s="15"/>
      <c r="H118" s="11"/>
      <c r="I118" s="15"/>
    </row>
    <row r="119">
      <c r="A119" s="11">
        <f>IFERROR(__xludf.DUMMYFUNCTION("""COMPUTED_VALUE"""),6631.0)</f>
        <v>6631</v>
      </c>
      <c r="B119" s="11" t="str">
        <f>IFERROR(__xludf.DUMMYFUNCTION("""COMPUTED_VALUE"""),"D")</f>
        <v>D</v>
      </c>
      <c r="C119" s="11" t="str">
        <f>IFERROR(__xludf.DUMMYFUNCTION("""COMPUTED_VALUE"""),"Ghilardi")</f>
        <v>Ghilardi</v>
      </c>
      <c r="D119" s="11" t="str">
        <f>IFERROR(__xludf.DUMMYFUNCTION("""COMPUTED_VALUE"""),"Roma")</f>
        <v>Roma</v>
      </c>
      <c r="E119" s="15">
        <f>IFERROR(__xludf.DUMMYFUNCTION("""COMPUTED_VALUE"""),6.0)</f>
        <v>6</v>
      </c>
      <c r="F119" s="17">
        <f>IFERROR(__xludf.DUMMYFUNCTION("""COMPUTED_VALUE"""),0.01)</f>
        <v>0.01</v>
      </c>
      <c r="G119" s="15"/>
      <c r="H119" s="11"/>
      <c r="I119" s="15"/>
    </row>
    <row r="120">
      <c r="A120" s="11">
        <f>IFERROR(__xludf.DUMMYFUNCTION("""COMPUTED_VALUE"""),5851.0)</f>
        <v>5851</v>
      </c>
      <c r="B120" s="11" t="str">
        <f>IFERROR(__xludf.DUMMYFUNCTION("""COMPUTED_VALUE"""),"D")</f>
        <v>D</v>
      </c>
      <c r="C120" s="11" t="str">
        <f>IFERROR(__xludf.DUMMYFUNCTION("""COMPUTED_VALUE"""),"Doig")</f>
        <v>Doig</v>
      </c>
      <c r="D120" s="11" t="str">
        <f>IFERROR(__xludf.DUMMYFUNCTION("""COMPUTED_VALUE"""),"Sassuolo")</f>
        <v>Sassuolo</v>
      </c>
      <c r="E120" s="15">
        <f>IFERROR(__xludf.DUMMYFUNCTION("""COMPUTED_VALUE"""),6.0)</f>
        <v>6</v>
      </c>
      <c r="F120" s="17">
        <f>IFERROR(__xludf.DUMMYFUNCTION("""COMPUTED_VALUE"""),0.01)</f>
        <v>0.01</v>
      </c>
      <c r="G120" s="15"/>
      <c r="H120" s="11"/>
      <c r="I120" s="15"/>
    </row>
    <row r="121">
      <c r="A121" s="11">
        <f>IFERROR(__xludf.DUMMYFUNCTION("""COMPUTED_VALUE"""),5695.0)</f>
        <v>5695</v>
      </c>
      <c r="B121" s="11" t="str">
        <f>IFERROR(__xludf.DUMMYFUNCTION("""COMPUTED_VALUE"""),"D")</f>
        <v>D</v>
      </c>
      <c r="C121" s="11" t="str">
        <f>IFERROR(__xludf.DUMMYFUNCTION("""COMPUTED_VALUE"""),"Haps")</f>
        <v>Haps</v>
      </c>
      <c r="D121" s="11" t="str">
        <f>IFERROR(__xludf.DUMMYFUNCTION("""COMPUTED_VALUE"""),"Venezia")</f>
        <v>Venezia</v>
      </c>
      <c r="E121" s="15">
        <f>IFERROR(__xludf.DUMMYFUNCTION("""COMPUTED_VALUE"""),6.0)</f>
        <v>6</v>
      </c>
      <c r="F121" s="17">
        <f>IFERROR(__xludf.DUMMYFUNCTION("""COMPUTED_VALUE"""),0.01)</f>
        <v>0.01</v>
      </c>
      <c r="G121" s="15"/>
      <c r="H121" s="11"/>
      <c r="I121" s="15"/>
    </row>
    <row r="122">
      <c r="A122" s="11">
        <f>IFERROR(__xludf.DUMMYFUNCTION("""COMPUTED_VALUE"""),7068.0)</f>
        <v>7068</v>
      </c>
      <c r="B122" s="11" t="str">
        <f>IFERROR(__xludf.DUMMYFUNCTION("""COMPUTED_VALUE"""),"D")</f>
        <v>D</v>
      </c>
      <c r="C122" s="11" t="str">
        <f>IFERROR(__xludf.DUMMYFUNCTION("""COMPUTED_VALUE"""),"Vitik")</f>
        <v>Vitik</v>
      </c>
      <c r="D122" s="11" t="str">
        <f>IFERROR(__xludf.DUMMYFUNCTION("""COMPUTED_VALUE"""),"Bologna")</f>
        <v>Bologna</v>
      </c>
      <c r="E122" s="15">
        <f>IFERROR(__xludf.DUMMYFUNCTION("""COMPUTED_VALUE"""),6.0)</f>
        <v>6</v>
      </c>
      <c r="F122" s="17">
        <f>IFERROR(__xludf.DUMMYFUNCTION("""COMPUTED_VALUE"""),0.01)</f>
        <v>0.01</v>
      </c>
      <c r="G122" s="15"/>
      <c r="H122" s="11"/>
      <c r="I122" s="15"/>
    </row>
    <row r="123">
      <c r="A123" s="11">
        <f>IFERROR(__xludf.DUMMYFUNCTION("""COMPUTED_VALUE"""),7014.0)</f>
        <v>7014</v>
      </c>
      <c r="B123" s="11" t="str">
        <f>IFERROR(__xludf.DUMMYFUNCTION("""COMPUTED_VALUE"""),"D")</f>
        <v>D</v>
      </c>
      <c r="C123" s="11" t="str">
        <f>IFERROR(__xludf.DUMMYFUNCTION("""COMPUTED_VALUE"""),"Smolcic I.")</f>
        <v>Smolcic I.</v>
      </c>
      <c r="D123" s="11" t="str">
        <f>IFERROR(__xludf.DUMMYFUNCTION("""COMPUTED_VALUE"""),"Como")</f>
        <v>Como</v>
      </c>
      <c r="E123" s="15">
        <f>IFERROR(__xludf.DUMMYFUNCTION("""COMPUTED_VALUE"""),6.0)</f>
        <v>6</v>
      </c>
      <c r="F123" s="17">
        <f>IFERROR(__xludf.DUMMYFUNCTION("""COMPUTED_VALUE"""),0.01)</f>
        <v>0.01</v>
      </c>
      <c r="G123" s="15"/>
      <c r="H123" s="11"/>
      <c r="I123" s="15"/>
    </row>
    <row r="124">
      <c r="A124" s="11">
        <f>IFERROR(__xludf.DUMMYFUNCTION("""COMPUTED_VALUE"""),5449.0)</f>
        <v>5449</v>
      </c>
      <c r="B124" s="11" t="str">
        <f>IFERROR(__xludf.DUMMYFUNCTION("""COMPUTED_VALUE"""),"D")</f>
        <v>D</v>
      </c>
      <c r="C124" s="11" t="str">
        <f>IFERROR(__xludf.DUMMYFUNCTION("""COMPUTED_VALUE"""),"Parisi")</f>
        <v>Parisi</v>
      </c>
      <c r="D124" s="11" t="str">
        <f>IFERROR(__xludf.DUMMYFUNCTION("""COMPUTED_VALUE"""),"Fiorentina")</f>
        <v>Fiorentina</v>
      </c>
      <c r="E124" s="15">
        <f>IFERROR(__xludf.DUMMYFUNCTION("""COMPUTED_VALUE"""),6.0)</f>
        <v>6</v>
      </c>
      <c r="F124" s="17">
        <f>IFERROR(__xludf.DUMMYFUNCTION("""COMPUTED_VALUE"""),0.01)</f>
        <v>0.01</v>
      </c>
      <c r="G124" s="15"/>
      <c r="H124" s="11"/>
      <c r="I124" s="15"/>
    </row>
    <row r="125">
      <c r="A125" s="11">
        <f>IFERROR(__xludf.DUMMYFUNCTION("""COMPUTED_VALUE"""),7537.0)</f>
        <v>7537</v>
      </c>
      <c r="B125" s="11" t="str">
        <f>IFERROR(__xludf.DUMMYFUNCTION("""COMPUTED_VALUE"""),"D")</f>
        <v>D</v>
      </c>
      <c r="C125" s="11" t="str">
        <f>IFERROR(__xludf.DUMMYFUNCTION("""COMPUTED_VALUE"""),"Mitaj")</f>
        <v>Mitaj</v>
      </c>
      <c r="D125" s="11" t="str">
        <f>IFERROR(__xludf.DUMMYFUNCTION("""COMPUTED_VALUE"""),"Genoa")</f>
        <v>Genoa</v>
      </c>
      <c r="E125" s="15">
        <f>IFERROR(__xludf.DUMMYFUNCTION("""COMPUTED_VALUE"""),6.0)</f>
        <v>6</v>
      </c>
      <c r="F125" s="17">
        <f>IFERROR(__xludf.DUMMYFUNCTION("""COMPUTED_VALUE"""),0.01)</f>
        <v>0.01</v>
      </c>
      <c r="G125" s="15"/>
      <c r="H125" s="11"/>
      <c r="I125" s="15"/>
    </row>
    <row r="126">
      <c r="A126" s="11">
        <f>IFERROR(__xludf.DUMMYFUNCTION("""COMPUTED_VALUE"""),5831.0)</f>
        <v>5831</v>
      </c>
      <c r="B126" s="11" t="str">
        <f>IFERROR(__xludf.DUMMYFUNCTION("""COMPUTED_VALUE"""),"D")</f>
        <v>D</v>
      </c>
      <c r="C126" s="11" t="str">
        <f>IFERROR(__xludf.DUMMYFUNCTION("""COMPUTED_VALUE"""),"Gatti")</f>
        <v>Gatti</v>
      </c>
      <c r="D126" s="11" t="str">
        <f>IFERROR(__xludf.DUMMYFUNCTION("""COMPUTED_VALUE"""),"Juventus")</f>
        <v>Juventus</v>
      </c>
      <c r="E126" s="15">
        <f>IFERROR(__xludf.DUMMYFUNCTION("""COMPUTED_VALUE"""),6.0)</f>
        <v>6</v>
      </c>
      <c r="F126" s="17">
        <f>IFERROR(__xludf.DUMMYFUNCTION("""COMPUTED_VALUE"""),0.01)</f>
        <v>0.01</v>
      </c>
      <c r="G126" s="15"/>
      <c r="H126" s="11"/>
      <c r="I126" s="15"/>
    </row>
    <row r="127">
      <c r="A127" s="11">
        <f>IFERROR(__xludf.DUMMYFUNCTION("""COMPUTED_VALUE"""),4374.0)</f>
        <v>4374</v>
      </c>
      <c r="B127" s="11" t="str">
        <f>IFERROR(__xludf.DUMMYFUNCTION("""COMPUTED_VALUE"""),"D")</f>
        <v>D</v>
      </c>
      <c r="C127" s="11" t="str">
        <f>IFERROR(__xludf.DUMMYFUNCTION("""COMPUTED_VALUE"""),"Walukiewicz")</f>
        <v>Walukiewicz</v>
      </c>
      <c r="D127" s="11" t="str">
        <f>IFERROR(__xludf.DUMMYFUNCTION("""COMPUTED_VALUE"""),"Sassuolo")</f>
        <v>Sassuolo</v>
      </c>
      <c r="E127" s="15">
        <f>IFERROR(__xludf.DUMMYFUNCTION("""COMPUTED_VALUE"""),6.0)</f>
        <v>6</v>
      </c>
      <c r="F127" s="17">
        <f>IFERROR(__xludf.DUMMYFUNCTION("""COMPUTED_VALUE"""),0.01)</f>
        <v>0.01</v>
      </c>
      <c r="G127" s="15"/>
      <c r="H127" s="11"/>
      <c r="I127" s="15"/>
    </row>
    <row r="128">
      <c r="A128" s="11">
        <f>IFERROR(__xludf.DUMMYFUNCTION("""COMPUTED_VALUE"""),5820.0)</f>
        <v>5820</v>
      </c>
      <c r="B128" s="11" t="str">
        <f>IFERROR(__xludf.DUMMYFUNCTION("""COMPUTED_VALUE"""),"D")</f>
        <v>D</v>
      </c>
      <c r="C128" s="11" t="str">
        <f>IFERROR(__xludf.DUMMYFUNCTION("""COMPUTED_VALUE"""),"Bertola")</f>
        <v>Bertola</v>
      </c>
      <c r="D128" s="11" t="str">
        <f>IFERROR(__xludf.DUMMYFUNCTION("""COMPUTED_VALUE"""),"Udinese")</f>
        <v>Udinese</v>
      </c>
      <c r="E128" s="15">
        <f>IFERROR(__xludf.DUMMYFUNCTION("""COMPUTED_VALUE"""),6.0)</f>
        <v>6</v>
      </c>
      <c r="F128" s="17">
        <f>IFERROR(__xludf.DUMMYFUNCTION("""COMPUTED_VALUE"""),0.01)</f>
        <v>0.01</v>
      </c>
      <c r="G128" s="15"/>
      <c r="H128" s="11"/>
      <c r="I128" s="15"/>
    </row>
    <row r="129">
      <c r="A129" s="11">
        <f>IFERROR(__xludf.DUMMYFUNCTION("""COMPUTED_VALUE"""),5527.0)</f>
        <v>5527</v>
      </c>
      <c r="B129" s="11" t="str">
        <f>IFERROR(__xludf.DUMMYFUNCTION("""COMPUTED_VALUE"""),"D")</f>
        <v>D</v>
      </c>
      <c r="C129" s="11" t="str">
        <f>IFERROR(__xludf.DUMMYFUNCTION("""COMPUTED_VALUE"""),"Zanoli")</f>
        <v>Zanoli</v>
      </c>
      <c r="D129" s="11" t="str">
        <f>IFERROR(__xludf.DUMMYFUNCTION("""COMPUTED_VALUE"""),"Udinese")</f>
        <v>Udinese</v>
      </c>
      <c r="E129" s="15">
        <f>IFERROR(__xludf.DUMMYFUNCTION("""COMPUTED_VALUE"""),6.0)</f>
        <v>6</v>
      </c>
      <c r="F129" s="17">
        <f>IFERROR(__xludf.DUMMYFUNCTION("""COMPUTED_VALUE"""),0.01)</f>
        <v>0.01</v>
      </c>
      <c r="G129" s="15"/>
      <c r="H129" s="11"/>
      <c r="I129" s="15"/>
    </row>
    <row r="130">
      <c r="A130" s="11">
        <f>IFERROR(__xludf.DUMMYFUNCTION("""COMPUTED_VALUE"""),256.0)</f>
        <v>256</v>
      </c>
      <c r="B130" s="11" t="str">
        <f>IFERROR(__xludf.DUMMYFUNCTION("""COMPUTED_VALUE"""),"D")</f>
        <v>D</v>
      </c>
      <c r="C130" s="11" t="str">
        <f>IFERROR(__xludf.DUMMYFUNCTION("""COMPUTED_VALUE"""),"Juan Jesus")</f>
        <v>Juan Jesus</v>
      </c>
      <c r="D130" s="11" t="str">
        <f>IFERROR(__xludf.DUMMYFUNCTION("""COMPUTED_VALUE"""),"Venezia")</f>
        <v>Venezia</v>
      </c>
      <c r="E130" s="15">
        <f>IFERROR(__xludf.DUMMYFUNCTION("""COMPUTED_VALUE"""),6.0)</f>
        <v>6</v>
      </c>
      <c r="F130" s="17">
        <f>IFERROR(__xludf.DUMMYFUNCTION("""COMPUTED_VALUE"""),0.01)</f>
        <v>0.01</v>
      </c>
      <c r="G130" s="15"/>
      <c r="H130" s="11"/>
      <c r="I130" s="15"/>
    </row>
    <row r="131">
      <c r="A131" s="11">
        <f>IFERROR(__xludf.DUMMYFUNCTION("""COMPUTED_VALUE"""),6047.0)</f>
        <v>6047</v>
      </c>
      <c r="B131" s="11" t="str">
        <f>IFERROR(__xludf.DUMMYFUNCTION("""COMPUTED_VALUE"""),"D")</f>
        <v>D</v>
      </c>
      <c r="C131" s="11" t="str">
        <f>IFERROR(__xludf.DUMMYFUNCTION("""COMPUTED_VALUE"""),"Ehizibue")</f>
        <v>Ehizibue</v>
      </c>
      <c r="D131" s="11" t="str">
        <f>IFERROR(__xludf.DUMMYFUNCTION("""COMPUTED_VALUE"""),"Genoa")</f>
        <v>Genoa</v>
      </c>
      <c r="E131" s="15">
        <f>IFERROR(__xludf.DUMMYFUNCTION("""COMPUTED_VALUE"""),6.0)</f>
        <v>6</v>
      </c>
      <c r="F131" s="17">
        <f>IFERROR(__xludf.DUMMYFUNCTION("""COMPUTED_VALUE"""),0.01)</f>
        <v>0.01</v>
      </c>
      <c r="G131" s="15"/>
      <c r="H131" s="11"/>
      <c r="I131" s="15"/>
    </row>
    <row r="132">
      <c r="A132" s="11">
        <f>IFERROR(__xludf.DUMMYFUNCTION("""COMPUTED_VALUE"""),4378.0)</f>
        <v>4378</v>
      </c>
      <c r="B132" s="11" t="str">
        <f>IFERROR(__xludf.DUMMYFUNCTION("""COMPUTED_VALUE"""),"D")</f>
        <v>D</v>
      </c>
      <c r="C132" s="11" t="str">
        <f>IFERROR(__xludf.DUMMYFUNCTION("""COMPUTED_VALUE"""),"Ranieri L.")</f>
        <v>Ranieri L.</v>
      </c>
      <c r="D132" s="11" t="str">
        <f>IFERROR(__xludf.DUMMYFUNCTION("""COMPUTED_VALUE"""),"Fiorentina")</f>
        <v>Fiorentina</v>
      </c>
      <c r="E132" s="15">
        <f>IFERROR(__xludf.DUMMYFUNCTION("""COMPUTED_VALUE"""),6.0)</f>
        <v>6</v>
      </c>
      <c r="F132" s="17">
        <f>IFERROR(__xludf.DUMMYFUNCTION("""COMPUTED_VALUE"""),0.01)</f>
        <v>0.01</v>
      </c>
      <c r="G132" s="15"/>
      <c r="H132" s="11"/>
      <c r="I132" s="15"/>
    </row>
    <row r="133">
      <c r="A133" s="11">
        <f>IFERROR(__xludf.DUMMYFUNCTION("""COMPUTED_VALUE"""),7255.0)</f>
        <v>7255</v>
      </c>
      <c r="B133" s="11" t="str">
        <f>IFERROR(__xludf.DUMMYFUNCTION("""COMPUTED_VALUE"""),"D")</f>
        <v>D</v>
      </c>
      <c r="C133" s="11" t="str">
        <f>IFERROR(__xludf.DUMMYFUNCTION("""COMPUTED_VALUE"""),"Britschgi")</f>
        <v>Britschgi</v>
      </c>
      <c r="D133" s="11" t="str">
        <f>IFERROR(__xludf.DUMMYFUNCTION("""COMPUTED_VALUE"""),"Parma")</f>
        <v>Parma</v>
      </c>
      <c r="E133" s="15">
        <f>IFERROR(__xludf.DUMMYFUNCTION("""COMPUTED_VALUE"""),6.0)</f>
        <v>6</v>
      </c>
      <c r="F133" s="17">
        <f>IFERROR(__xludf.DUMMYFUNCTION("""COMPUTED_VALUE"""),0.01)</f>
        <v>0.01</v>
      </c>
      <c r="G133" s="15"/>
      <c r="H133" s="11"/>
      <c r="I133" s="15"/>
    </row>
    <row r="134">
      <c r="A134" s="11">
        <f>IFERROR(__xludf.DUMMYFUNCTION("""COMPUTED_VALUE"""),7538.0)</f>
        <v>7538</v>
      </c>
      <c r="B134" s="11" t="str">
        <f>IFERROR(__xludf.DUMMYFUNCTION("""COMPUTED_VALUE"""),"D")</f>
        <v>D</v>
      </c>
      <c r="C134" s="11" t="str">
        <f>IFERROR(__xludf.DUMMYFUNCTION("""COMPUTED_VALUE"""),"Halhal")</f>
        <v>Halhal</v>
      </c>
      <c r="D134" s="11" t="str">
        <f>IFERROR(__xludf.DUMMYFUNCTION("""COMPUTED_VALUE"""),"Venezia")</f>
        <v>Venezia</v>
      </c>
      <c r="E134" s="15">
        <f>IFERROR(__xludf.DUMMYFUNCTION("""COMPUTED_VALUE"""),6.0)</f>
        <v>6</v>
      </c>
      <c r="F134" s="17">
        <f>IFERROR(__xludf.DUMMYFUNCTION("""COMPUTED_VALUE"""),0.01)</f>
        <v>0.01</v>
      </c>
      <c r="G134" s="15"/>
      <c r="H134" s="11"/>
      <c r="I134" s="15"/>
    </row>
    <row r="135">
      <c r="A135" s="11">
        <f>IFERROR(__xludf.DUMMYFUNCTION("""COMPUTED_VALUE"""),6892.0)</f>
        <v>6892</v>
      </c>
      <c r="B135" s="11" t="str">
        <f>IFERROR(__xludf.DUMMYFUNCTION("""COMPUTED_VALUE"""),"D")</f>
        <v>D</v>
      </c>
      <c r="C135" s="11" t="str">
        <f>IFERROR(__xludf.DUMMYFUNCTION("""COMPUTED_VALUE"""),"Schingtienne")</f>
        <v>Schingtienne</v>
      </c>
      <c r="D135" s="11" t="str">
        <f>IFERROR(__xludf.DUMMYFUNCTION("""COMPUTED_VALUE"""),"Venezia")</f>
        <v>Venezia</v>
      </c>
      <c r="E135" s="15">
        <f>IFERROR(__xludf.DUMMYFUNCTION("""COMPUTED_VALUE"""),6.0)</f>
        <v>6</v>
      </c>
      <c r="F135" s="17">
        <f>IFERROR(__xludf.DUMMYFUNCTION("""COMPUTED_VALUE"""),0.01)</f>
        <v>0.01</v>
      </c>
      <c r="G135" s="15"/>
      <c r="H135" s="11"/>
      <c r="I135" s="15"/>
    </row>
    <row r="136">
      <c r="A136" s="11">
        <f>IFERROR(__xludf.DUMMYFUNCTION("""COMPUTED_VALUE"""),5742.0)</f>
        <v>5742</v>
      </c>
      <c r="B136" s="11" t="str">
        <f>IFERROR(__xludf.DUMMYFUNCTION("""COMPUTED_VALUE"""),"D")</f>
        <v>D</v>
      </c>
      <c r="C136" s="11" t="str">
        <f>IFERROR(__xludf.DUMMYFUNCTION("""COMPUTED_VALUE"""),"Drameh")</f>
        <v>Drameh</v>
      </c>
      <c r="D136" s="11" t="str">
        <f>IFERROR(__xludf.DUMMYFUNCTION("""COMPUTED_VALUE"""),"Genoa")</f>
        <v>Genoa</v>
      </c>
      <c r="E136" s="15">
        <f>IFERROR(__xludf.DUMMYFUNCTION("""COMPUTED_VALUE"""),6.0)</f>
        <v>6</v>
      </c>
      <c r="F136" s="17">
        <f>IFERROR(__xludf.DUMMYFUNCTION("""COMPUTED_VALUE"""),0.01)</f>
        <v>0.01</v>
      </c>
      <c r="G136" s="15"/>
      <c r="H136" s="11"/>
      <c r="I136" s="15"/>
    </row>
    <row r="137">
      <c r="A137" s="11">
        <f>IFERROR(__xludf.DUMMYFUNCTION("""COMPUTED_VALUE"""),6021.0)</f>
        <v>6021</v>
      </c>
      <c r="B137" s="11" t="str">
        <f>IFERROR(__xludf.DUMMYFUNCTION("""COMPUTED_VALUE"""),"D")</f>
        <v>D</v>
      </c>
      <c r="C137" s="11" t="str">
        <f>IFERROR(__xludf.DUMMYFUNCTION("""COMPUTED_VALUE"""),"Abankwah")</f>
        <v>Abankwah</v>
      </c>
      <c r="D137" s="11" t="str">
        <f>IFERROR(__xludf.DUMMYFUNCTION("""COMPUTED_VALUE"""),"Udinese")</f>
        <v>Udinese</v>
      </c>
      <c r="E137" s="15">
        <f>IFERROR(__xludf.DUMMYFUNCTION("""COMPUTED_VALUE"""),6.0)</f>
        <v>6</v>
      </c>
      <c r="F137" s="17">
        <f>IFERROR(__xludf.DUMMYFUNCTION("""COMPUTED_VALUE"""),0.01)</f>
        <v>0.01</v>
      </c>
      <c r="G137" s="15"/>
      <c r="H137" s="11"/>
      <c r="I137" s="15"/>
    </row>
    <row r="138">
      <c r="A138" s="11">
        <f>IFERROR(__xludf.DUMMYFUNCTION("""COMPUTED_VALUE"""),5481.0)</f>
        <v>5481</v>
      </c>
      <c r="B138" s="11" t="str">
        <f>IFERROR(__xludf.DUMMYFUNCTION("""COMPUTED_VALUE"""),"D")</f>
        <v>D</v>
      </c>
      <c r="C138" s="11" t="str">
        <f>IFERROR(__xludf.DUMMYFUNCTION("""COMPUTED_VALUE"""),"Mazzocchi")</f>
        <v>Mazzocchi</v>
      </c>
      <c r="D138" s="11" t="str">
        <f>IFERROR(__xludf.DUMMYFUNCTION("""COMPUTED_VALUE"""),"Venezia")</f>
        <v>Venezia</v>
      </c>
      <c r="E138" s="15">
        <f>IFERROR(__xludf.DUMMYFUNCTION("""COMPUTED_VALUE"""),6.0)</f>
        <v>6</v>
      </c>
      <c r="F138" s="17">
        <f>IFERROR(__xludf.DUMMYFUNCTION("""COMPUTED_VALUE"""),0.01)</f>
        <v>0.01</v>
      </c>
      <c r="G138" s="15"/>
      <c r="H138" s="11"/>
      <c r="I138" s="15"/>
    </row>
    <row r="139">
      <c r="A139" s="11">
        <f>IFERROR(__xludf.DUMMYFUNCTION("""COMPUTED_VALUE"""),2640.0)</f>
        <v>2640</v>
      </c>
      <c r="B139" s="11" t="str">
        <f>IFERROR(__xludf.DUMMYFUNCTION("""COMPUTED_VALUE"""),"D")</f>
        <v>D</v>
      </c>
      <c r="C139" s="11" t="str">
        <f>IFERROR(__xludf.DUMMYFUNCTION("""COMPUTED_VALUE"""),"Kolasinac")</f>
        <v>Kolasinac</v>
      </c>
      <c r="D139" s="11" t="str">
        <f>IFERROR(__xludf.DUMMYFUNCTION("""COMPUTED_VALUE"""),"Atalanta")</f>
        <v>Atalanta</v>
      </c>
      <c r="E139" s="15">
        <f>IFERROR(__xludf.DUMMYFUNCTION("""COMPUTED_VALUE"""),5.0)</f>
        <v>5</v>
      </c>
      <c r="F139" s="17">
        <f>IFERROR(__xludf.DUMMYFUNCTION("""COMPUTED_VALUE"""),0.008)</f>
        <v>0.008</v>
      </c>
      <c r="G139" s="15"/>
      <c r="H139" s="11"/>
      <c r="I139" s="15"/>
    </row>
    <row r="140">
      <c r="A140" s="11">
        <f>IFERROR(__xludf.DUMMYFUNCTION("""COMPUTED_VALUE"""),4751.0)</f>
        <v>4751</v>
      </c>
      <c r="B140" s="11" t="str">
        <f>IFERROR(__xludf.DUMMYFUNCTION("""COMPUTED_VALUE"""),"D")</f>
        <v>D</v>
      </c>
      <c r="C140" s="11" t="str">
        <f>IFERROR(__xludf.DUMMYFUNCTION("""COMPUTED_VALUE"""),"Tomori")</f>
        <v>Tomori</v>
      </c>
      <c r="D140" s="11" t="str">
        <f>IFERROR(__xludf.DUMMYFUNCTION("""COMPUTED_VALUE"""),"Milan")</f>
        <v>Milan</v>
      </c>
      <c r="E140" s="15">
        <f>IFERROR(__xludf.DUMMYFUNCTION("""COMPUTED_VALUE"""),5.0)</f>
        <v>5</v>
      </c>
      <c r="F140" s="17">
        <f>IFERROR(__xludf.DUMMYFUNCTION("""COMPUTED_VALUE"""),0.008)</f>
        <v>0.008</v>
      </c>
      <c r="G140" s="15"/>
      <c r="H140" s="11"/>
      <c r="I140" s="15"/>
    </row>
    <row r="141">
      <c r="A141" s="11">
        <f>IFERROR(__xludf.DUMMYFUNCTION("""COMPUTED_VALUE"""),7532.0)</f>
        <v>7532</v>
      </c>
      <c r="B141" s="11" t="str">
        <f>IFERROR(__xludf.DUMMYFUNCTION("""COMPUTED_VALUE"""),"D")</f>
        <v>D</v>
      </c>
      <c r="C141" s="11" t="str">
        <f>IFERROR(__xludf.DUMMYFUNCTION("""COMPUTED_VALUE"""),"Kofler")</f>
        <v>Kofler</v>
      </c>
      <c r="D141" s="11" t="str">
        <f>IFERROR(__xludf.DUMMYFUNCTION("""COMPUTED_VALUE"""),"Cagliari")</f>
        <v>Cagliari</v>
      </c>
      <c r="E141" s="15">
        <f>IFERROR(__xludf.DUMMYFUNCTION("""COMPUTED_VALUE"""),5.0)</f>
        <v>5</v>
      </c>
      <c r="F141" s="17">
        <f>IFERROR(__xludf.DUMMYFUNCTION("""COMPUTED_VALUE"""),0.008)</f>
        <v>0.008</v>
      </c>
      <c r="G141" s="15"/>
      <c r="H141" s="11"/>
      <c r="I141" s="15"/>
    </row>
    <row r="142">
      <c r="A142" s="11">
        <f>IFERROR(__xludf.DUMMYFUNCTION("""COMPUTED_VALUE"""),5603.0)</f>
        <v>5603</v>
      </c>
      <c r="B142" s="11" t="str">
        <f>IFERROR(__xludf.DUMMYFUNCTION("""COMPUTED_VALUE"""),"D")</f>
        <v>D</v>
      </c>
      <c r="C142" s="11" t="str">
        <f>IFERROR(__xludf.DUMMYFUNCTION("""COMPUTED_VALUE"""),"Pongracic")</f>
        <v>Pongracic</v>
      </c>
      <c r="D142" s="11" t="str">
        <f>IFERROR(__xludf.DUMMYFUNCTION("""COMPUTED_VALUE"""),"Fiorentina")</f>
        <v>Fiorentina</v>
      </c>
      <c r="E142" s="15">
        <f>IFERROR(__xludf.DUMMYFUNCTION("""COMPUTED_VALUE"""),5.0)</f>
        <v>5</v>
      </c>
      <c r="F142" s="17">
        <f>IFERROR(__xludf.DUMMYFUNCTION("""COMPUTED_VALUE"""),0.008)</f>
        <v>0.008</v>
      </c>
      <c r="G142" s="15"/>
      <c r="H142" s="11"/>
      <c r="I142" s="15"/>
    </row>
    <row r="143">
      <c r="A143" s="11">
        <f>IFERROR(__xludf.DUMMYFUNCTION("""COMPUTED_VALUE"""),5757.0)</f>
        <v>5757</v>
      </c>
      <c r="B143" s="11" t="str">
        <f>IFERROR(__xludf.DUMMYFUNCTION("""COMPUTED_VALUE"""),"D")</f>
        <v>D</v>
      </c>
      <c r="C143" s="11" t="str">
        <f>IFERROR(__xludf.DUMMYFUNCTION("""COMPUTED_VALUE"""),"Cittadini")</f>
        <v>Cittadini</v>
      </c>
      <c r="D143" s="11" t="str">
        <f>IFERROR(__xludf.DUMMYFUNCTION("""COMPUTED_VALUE"""),"Frosinone")</f>
        <v>Frosinone</v>
      </c>
      <c r="E143" s="15">
        <f>IFERROR(__xludf.DUMMYFUNCTION("""COMPUTED_VALUE"""),5.0)</f>
        <v>5</v>
      </c>
      <c r="F143" s="17">
        <f>IFERROR(__xludf.DUMMYFUNCTION("""COMPUTED_VALUE"""),0.008)</f>
        <v>0.008</v>
      </c>
      <c r="G143" s="15"/>
      <c r="H143" s="11"/>
      <c r="I143" s="15"/>
    </row>
    <row r="144">
      <c r="A144" s="11">
        <f>IFERROR(__xludf.DUMMYFUNCTION("""COMPUTED_VALUE"""),7312.0)</f>
        <v>7312</v>
      </c>
      <c r="B144" s="11" t="str">
        <f>IFERROR(__xludf.DUMMYFUNCTION("""COMPUTED_VALUE"""),"D")</f>
        <v>D</v>
      </c>
      <c r="C144" s="11" t="str">
        <f>IFERROR(__xludf.DUMMYFUNCTION("""COMPUTED_VALUE"""),"Arizala")</f>
        <v>Arizala</v>
      </c>
      <c r="D144" s="11" t="str">
        <f>IFERROR(__xludf.DUMMYFUNCTION("""COMPUTED_VALUE"""),"Udinese")</f>
        <v>Udinese</v>
      </c>
      <c r="E144" s="15">
        <f>IFERROR(__xludf.DUMMYFUNCTION("""COMPUTED_VALUE"""),5.0)</f>
        <v>5</v>
      </c>
      <c r="F144" s="17">
        <f>IFERROR(__xludf.DUMMYFUNCTION("""COMPUTED_VALUE"""),0.008)</f>
        <v>0.008</v>
      </c>
      <c r="G144" s="15"/>
      <c r="H144" s="11"/>
      <c r="I144" s="15"/>
    </row>
    <row r="145">
      <c r="A145" s="11">
        <f>IFERROR(__xludf.DUMMYFUNCTION("""COMPUTED_VALUE"""),4375.0)</f>
        <v>4375</v>
      </c>
      <c r="B145" s="11" t="str">
        <f>IFERROR(__xludf.DUMMYFUNCTION("""COMPUTED_VALUE"""),"D")</f>
        <v>D</v>
      </c>
      <c r="C145" s="11" t="str">
        <f>IFERROR(__xludf.DUMMYFUNCTION("""COMPUTED_VALUE"""),"Terzic")</f>
        <v>Terzic</v>
      </c>
      <c r="D145" s="11" t="str">
        <f>IFERROR(__xludf.DUMMYFUNCTION("""COMPUTED_VALUE"""),"Frosinone")</f>
        <v>Frosinone</v>
      </c>
      <c r="E145" s="15">
        <f>IFERROR(__xludf.DUMMYFUNCTION("""COMPUTED_VALUE"""),5.0)</f>
        <v>5</v>
      </c>
      <c r="F145" s="17">
        <f>IFERROR(__xludf.DUMMYFUNCTION("""COMPUTED_VALUE"""),0.008)</f>
        <v>0.008</v>
      </c>
      <c r="G145" s="15"/>
      <c r="H145" s="11"/>
      <c r="I145" s="15"/>
    </row>
    <row r="146">
      <c r="A146" s="11">
        <f>IFERROR(__xludf.DUMMYFUNCTION("""COMPUTED_VALUE"""),4925.0)</f>
        <v>4925</v>
      </c>
      <c r="B146" s="11" t="str">
        <f>IFERROR(__xludf.DUMMYFUNCTION("""COMPUTED_VALUE"""),"D")</f>
        <v>D</v>
      </c>
      <c r="C146" s="11" t="str">
        <f>IFERROR(__xludf.DUMMYFUNCTION("""COMPUTED_VALUE"""),"Carboni A.")</f>
        <v>Carboni A.</v>
      </c>
      <c r="D146" s="11" t="str">
        <f>IFERROR(__xludf.DUMMYFUNCTION("""COMPUTED_VALUE"""),"Monza")</f>
        <v>Monza</v>
      </c>
      <c r="E146" s="15">
        <f>IFERROR(__xludf.DUMMYFUNCTION("""COMPUTED_VALUE"""),5.0)</f>
        <v>5</v>
      </c>
      <c r="F146" s="17">
        <f>IFERROR(__xludf.DUMMYFUNCTION("""COMPUTED_VALUE"""),0.009)</f>
        <v>0.009</v>
      </c>
      <c r="G146" s="15"/>
      <c r="H146" s="11"/>
      <c r="I146" s="15"/>
    </row>
    <row r="147">
      <c r="A147" s="11">
        <f>IFERROR(__xludf.DUMMYFUNCTION("""COMPUTED_VALUE"""),7154.0)</f>
        <v>7154</v>
      </c>
      <c r="B147" s="11" t="str">
        <f>IFERROR(__xludf.DUMMYFUNCTION("""COMPUTED_VALUE"""),"D")</f>
        <v>D</v>
      </c>
      <c r="C147" s="11" t="str">
        <f>IFERROR(__xludf.DUMMYFUNCTION("""COMPUTED_VALUE"""),"Odenthal")</f>
        <v>Odenthal</v>
      </c>
      <c r="D147" s="11" t="str">
        <f>IFERROR(__xludf.DUMMYFUNCTION("""COMPUTED_VALUE"""),"Sassuolo")</f>
        <v>Sassuolo</v>
      </c>
      <c r="E147" s="15">
        <f>IFERROR(__xludf.DUMMYFUNCTION("""COMPUTED_VALUE"""),5.0)</f>
        <v>5</v>
      </c>
      <c r="F147" s="17">
        <f>IFERROR(__xludf.DUMMYFUNCTION("""COMPUTED_VALUE"""),0.008)</f>
        <v>0.008</v>
      </c>
      <c r="G147" s="15"/>
      <c r="H147" s="11"/>
      <c r="I147" s="15"/>
    </row>
    <row r="148">
      <c r="A148" s="11">
        <f>IFERROR(__xludf.DUMMYFUNCTION("""COMPUTED_VALUE"""),7605.0)</f>
        <v>7605</v>
      </c>
      <c r="B148" s="11" t="str">
        <f>IFERROR(__xludf.DUMMYFUNCTION("""COMPUTED_VALUE"""),"D")</f>
        <v>D</v>
      </c>
      <c r="C148" s="11" t="str">
        <f>IFERROR(__xludf.DUMMYFUNCTION("""COMPUTED_VALUE"""),"Tchato")</f>
        <v>Tchato</v>
      </c>
      <c r="D148" s="11" t="str">
        <f>IFERROR(__xludf.DUMMYFUNCTION("""COMPUTED_VALUE"""),"Frosinone")</f>
        <v>Frosinone</v>
      </c>
      <c r="E148" s="15">
        <f>IFERROR(__xludf.DUMMYFUNCTION("""COMPUTED_VALUE"""),5.0)</f>
        <v>5</v>
      </c>
      <c r="F148" s="17">
        <f>IFERROR(__xludf.DUMMYFUNCTION("""COMPUTED_VALUE"""),0.008)</f>
        <v>0.008</v>
      </c>
      <c r="G148" s="15"/>
      <c r="H148" s="11"/>
      <c r="I148" s="15"/>
    </row>
    <row r="149">
      <c r="A149" s="11">
        <f>IFERROR(__xludf.DUMMYFUNCTION("""COMPUTED_VALUE"""),6601.0)</f>
        <v>6601</v>
      </c>
      <c r="B149" s="11" t="str">
        <f>IFERROR(__xludf.DUMMYFUNCTION("""COMPUTED_VALUE"""),"D")</f>
        <v>D</v>
      </c>
      <c r="C149" s="11" t="str">
        <f>IFERROR(__xludf.DUMMYFUNCTION("""COMPUTED_VALUE"""),"Kambwala")</f>
        <v>Kambwala</v>
      </c>
      <c r="D149" s="11" t="str">
        <f>IFERROR(__xludf.DUMMYFUNCTION("""COMPUTED_VALUE"""),"Como")</f>
        <v>Como</v>
      </c>
      <c r="E149" s="15">
        <f>IFERROR(__xludf.DUMMYFUNCTION("""COMPUTED_VALUE"""),5.0)</f>
        <v>5</v>
      </c>
      <c r="F149" s="17">
        <f>IFERROR(__xludf.DUMMYFUNCTION("""COMPUTED_VALUE"""),0.008)</f>
        <v>0.008</v>
      </c>
      <c r="G149" s="15"/>
      <c r="H149" s="11"/>
      <c r="I149" s="15"/>
    </row>
    <row r="150">
      <c r="A150" s="11">
        <f>IFERROR(__xludf.DUMMYFUNCTION("""COMPUTED_VALUE"""),6638.0)</f>
        <v>6638</v>
      </c>
      <c r="B150" s="11" t="str">
        <f>IFERROR(__xludf.DUMMYFUNCTION("""COMPUTED_VALUE"""),"D")</f>
        <v>D</v>
      </c>
      <c r="C150" s="11" t="str">
        <f>IFERROR(__xludf.DUMMYFUNCTION("""COMPUTED_VALUE"""),"Marin R.")</f>
        <v>Marin R.</v>
      </c>
      <c r="D150" s="11" t="str">
        <f>IFERROR(__xludf.DUMMYFUNCTION("""COMPUTED_VALUE"""),"Napoli")</f>
        <v>Napoli</v>
      </c>
      <c r="E150" s="15">
        <f>IFERROR(__xludf.DUMMYFUNCTION("""COMPUTED_VALUE"""),5.0)</f>
        <v>5</v>
      </c>
      <c r="F150" s="17">
        <f>IFERROR(__xludf.DUMMYFUNCTION("""COMPUTED_VALUE"""),0.008)</f>
        <v>0.008</v>
      </c>
      <c r="G150" s="15"/>
      <c r="H150" s="11"/>
      <c r="I150" s="15"/>
    </row>
    <row r="151">
      <c r="A151" s="11">
        <f>IFERROR(__xludf.DUMMYFUNCTION("""COMPUTED_VALUE"""),7202.0)</f>
        <v>7202</v>
      </c>
      <c r="B151" s="11" t="str">
        <f>IFERROR(__xludf.DUMMYFUNCTION("""COMPUTED_VALUE"""),"D")</f>
        <v>D</v>
      </c>
      <c r="C151" s="11" t="str">
        <f>IFERROR(__xludf.DUMMYFUNCTION("""COMPUTED_VALUE"""),"Ndiaye")</f>
        <v>Ndiaye</v>
      </c>
      <c r="D151" s="11" t="str">
        <f>IFERROR(__xludf.DUMMYFUNCTION("""COMPUTED_VALUE"""),"Parma")</f>
        <v>Parma</v>
      </c>
      <c r="E151" s="15">
        <f>IFERROR(__xludf.DUMMYFUNCTION("""COMPUTED_VALUE"""),5.0)</f>
        <v>5</v>
      </c>
      <c r="F151" s="17">
        <f>IFERROR(__xludf.DUMMYFUNCTION("""COMPUTED_VALUE"""),0.008)</f>
        <v>0.008</v>
      </c>
      <c r="G151" s="15"/>
      <c r="H151" s="11"/>
      <c r="I151" s="15"/>
    </row>
    <row r="152">
      <c r="A152" s="11">
        <f>IFERROR(__xludf.DUMMYFUNCTION("""COMPUTED_VALUE"""),6890.0)</f>
        <v>6890</v>
      </c>
      <c r="B152" s="11" t="str">
        <f>IFERROR(__xludf.DUMMYFUNCTION("""COMPUTED_VALUE"""),"D")</f>
        <v>D</v>
      </c>
      <c r="C152" s="11" t="str">
        <f>IFERROR(__xludf.DUMMYFUNCTION("""COMPUTED_VALUE"""),"Moreno M.")</f>
        <v>Moreno M.</v>
      </c>
      <c r="D152" s="11" t="str">
        <f>IFERROR(__xludf.DUMMYFUNCTION("""COMPUTED_VALUE"""),"Venezia")</f>
        <v>Venezia</v>
      </c>
      <c r="E152" s="15">
        <f>IFERROR(__xludf.DUMMYFUNCTION("""COMPUTED_VALUE"""),4.0)</f>
        <v>4</v>
      </c>
      <c r="F152" s="17">
        <f>IFERROR(__xludf.DUMMYFUNCTION("""COMPUTED_VALUE"""),0.006)</f>
        <v>0.006</v>
      </c>
      <c r="G152" s="15"/>
      <c r="H152" s="11"/>
      <c r="I152" s="15"/>
    </row>
    <row r="153">
      <c r="A153" s="11">
        <f>IFERROR(__xludf.DUMMYFUNCTION("""COMPUTED_VALUE"""),7540.0)</f>
        <v>7540</v>
      </c>
      <c r="B153" s="11" t="str">
        <f>IFERROR(__xludf.DUMMYFUNCTION("""COMPUTED_VALUE"""),"D")</f>
        <v>D</v>
      </c>
      <c r="C153" s="11" t="str">
        <f>IFERROR(__xludf.DUMMYFUNCTION("""COMPUTED_VALUE"""),"Akpoguma")</f>
        <v>Akpoguma</v>
      </c>
      <c r="D153" s="11" t="str">
        <f>IFERROR(__xludf.DUMMYFUNCTION("""COMPUTED_VALUE"""),"Frosinone")</f>
        <v>Frosinone</v>
      </c>
      <c r="E153" s="15">
        <f>IFERROR(__xludf.DUMMYFUNCTION("""COMPUTED_VALUE"""),4.0)</f>
        <v>4</v>
      </c>
      <c r="F153" s="17">
        <f>IFERROR(__xludf.DUMMYFUNCTION("""COMPUTED_VALUE"""),0.006)</f>
        <v>0.006</v>
      </c>
      <c r="G153" s="15"/>
      <c r="H153" s="11"/>
      <c r="I153" s="15"/>
    </row>
    <row r="154">
      <c r="A154" s="11">
        <f>IFERROR(__xludf.DUMMYFUNCTION("""COMPUTED_VALUE"""),6985.0)</f>
        <v>6985</v>
      </c>
      <c r="B154" s="11" t="str">
        <f>IFERROR(__xludf.DUMMYFUNCTION("""COMPUTED_VALUE"""),"D")</f>
        <v>D</v>
      </c>
      <c r="C154" s="11" t="str">
        <f>IFERROR(__xludf.DUMMYFUNCTION("""COMPUTED_VALUE"""),"Candè")</f>
        <v>Candè</v>
      </c>
      <c r="D154" s="11" t="str">
        <f>IFERROR(__xludf.DUMMYFUNCTION("""COMPUTED_VALUE"""),"Sassuolo")</f>
        <v>Sassuolo</v>
      </c>
      <c r="E154" s="15">
        <f>IFERROR(__xludf.DUMMYFUNCTION("""COMPUTED_VALUE"""),4.0)</f>
        <v>4</v>
      </c>
      <c r="F154" s="17">
        <f>IFERROR(__xludf.DUMMYFUNCTION("""COMPUTED_VALUE"""),0.007)</f>
        <v>0.007</v>
      </c>
      <c r="G154" s="15"/>
      <c r="H154" s="11"/>
      <c r="I154" s="15"/>
    </row>
    <row r="155">
      <c r="A155" s="11">
        <f>IFERROR(__xludf.DUMMYFUNCTION("""COMPUTED_VALUE"""),6673.0)</f>
        <v>6673</v>
      </c>
      <c r="B155" s="11" t="str">
        <f>IFERROR(__xludf.DUMMYFUNCTION("""COMPUTED_VALUE"""),"D")</f>
        <v>D</v>
      </c>
      <c r="C155" s="11" t="str">
        <f>IFERROR(__xludf.DUMMYFUNCTION("""COMPUTED_VALUE"""),"Sverko")</f>
        <v>Sverko</v>
      </c>
      <c r="D155" s="11" t="str">
        <f>IFERROR(__xludf.DUMMYFUNCTION("""COMPUTED_VALUE"""),"Venezia")</f>
        <v>Venezia</v>
      </c>
      <c r="E155" s="15">
        <f>IFERROR(__xludf.DUMMYFUNCTION("""COMPUTED_VALUE"""),4.0)</f>
        <v>4</v>
      </c>
      <c r="F155" s="17">
        <f>IFERROR(__xludf.DUMMYFUNCTION("""COMPUTED_VALUE"""),0.007)</f>
        <v>0.007</v>
      </c>
      <c r="G155" s="15"/>
      <c r="H155" s="11"/>
      <c r="I155" s="15"/>
    </row>
    <row r="156">
      <c r="A156" s="11">
        <f>IFERROR(__xludf.DUMMYFUNCTION("""COMPUTED_VALUE"""),7478.0)</f>
        <v>7478</v>
      </c>
      <c r="B156" s="11" t="str">
        <f>IFERROR(__xludf.DUMMYFUNCTION("""COMPUTED_VALUE"""),"D")</f>
        <v>D</v>
      </c>
      <c r="C156" s="11" t="str">
        <f>IFERROR(__xludf.DUMMYFUNCTION("""COMPUTED_VALUE"""),"Franjic")</f>
        <v>Franjic</v>
      </c>
      <c r="D156" s="11" t="str">
        <f>IFERROR(__xludf.DUMMYFUNCTION("""COMPUTED_VALUE"""),"Venezia")</f>
        <v>Venezia</v>
      </c>
      <c r="E156" s="15">
        <f>IFERROR(__xludf.DUMMYFUNCTION("""COMPUTED_VALUE"""),4.0)</f>
        <v>4</v>
      </c>
      <c r="F156" s="17">
        <f>IFERROR(__xludf.DUMMYFUNCTION("""COMPUTED_VALUE"""),0.007)</f>
        <v>0.007</v>
      </c>
      <c r="G156" s="15"/>
      <c r="H156" s="11"/>
      <c r="I156" s="15"/>
    </row>
    <row r="157">
      <c r="A157" s="11">
        <f>IFERROR(__xludf.DUMMYFUNCTION("""COMPUTED_VALUE"""),7483.0)</f>
        <v>7483</v>
      </c>
      <c r="B157" s="11" t="str">
        <f>IFERROR(__xludf.DUMMYFUNCTION("""COMPUTED_VALUE"""),"D")</f>
        <v>D</v>
      </c>
      <c r="C157" s="11" t="str">
        <f>IFERROR(__xludf.DUMMYFUNCTION("""COMPUTED_VALUE"""),"Alhassane")</f>
        <v>Alhassane</v>
      </c>
      <c r="D157" s="11" t="str">
        <f>IFERROR(__xludf.DUMMYFUNCTION("""COMPUTED_VALUE"""),"Bologna")</f>
        <v>Bologna</v>
      </c>
      <c r="E157" s="15">
        <f>IFERROR(__xludf.DUMMYFUNCTION("""COMPUTED_VALUE"""),4.0)</f>
        <v>4</v>
      </c>
      <c r="F157" s="17">
        <f>IFERROR(__xludf.DUMMYFUNCTION("""COMPUTED_VALUE"""),0.006)</f>
        <v>0.006</v>
      </c>
      <c r="G157" s="15"/>
      <c r="H157" s="11"/>
      <c r="I157" s="15"/>
    </row>
    <row r="158">
      <c r="A158" s="11">
        <f>IFERROR(__xludf.DUMMYFUNCTION("""COMPUTED_VALUE"""),2728.0)</f>
        <v>2728</v>
      </c>
      <c r="B158" s="11" t="str">
        <f>IFERROR(__xludf.DUMMYFUNCTION("""COMPUTED_VALUE"""),"D")</f>
        <v>D</v>
      </c>
      <c r="C158" s="11" t="str">
        <f>IFERROR(__xludf.DUMMYFUNCTION("""COMPUTED_VALUE"""),"Pellegrini Lu.")</f>
        <v>Pellegrini Lu.</v>
      </c>
      <c r="D158" s="11" t="str">
        <f>IFERROR(__xludf.DUMMYFUNCTION("""COMPUTED_VALUE"""),"Lazio")</f>
        <v>Lazio</v>
      </c>
      <c r="E158" s="15">
        <f>IFERROR(__xludf.DUMMYFUNCTION("""COMPUTED_VALUE"""),4.0)</f>
        <v>4</v>
      </c>
      <c r="F158" s="17">
        <f>IFERROR(__xludf.DUMMYFUNCTION("""COMPUTED_VALUE"""),0.007)</f>
        <v>0.007</v>
      </c>
      <c r="G158" s="15"/>
      <c r="H158" s="11"/>
      <c r="I158" s="15"/>
    </row>
    <row r="159">
      <c r="A159" s="11">
        <f>IFERROR(__xludf.DUMMYFUNCTION("""COMPUTED_VALUE"""),5498.0)</f>
        <v>5498</v>
      </c>
      <c r="B159" s="11" t="str">
        <f>IFERROR(__xludf.DUMMYFUNCTION("""COMPUTED_VALUE"""),"D")</f>
        <v>D</v>
      </c>
      <c r="C159" s="11" t="str">
        <f>IFERROR(__xludf.DUMMYFUNCTION("""COMPUTED_VALUE"""),"Casale")</f>
        <v>Casale</v>
      </c>
      <c r="D159" s="11" t="str">
        <f>IFERROR(__xludf.DUMMYFUNCTION("""COMPUTED_VALUE"""),"Bologna")</f>
        <v>Bologna</v>
      </c>
      <c r="E159" s="15">
        <f>IFERROR(__xludf.DUMMYFUNCTION("""COMPUTED_VALUE"""),3.0)</f>
        <v>3</v>
      </c>
      <c r="F159" s="17">
        <f>IFERROR(__xludf.DUMMYFUNCTION("""COMPUTED_VALUE"""),0.005)</f>
        <v>0.005</v>
      </c>
      <c r="G159" s="15"/>
      <c r="H159" s="11"/>
      <c r="I159" s="15"/>
    </row>
    <row r="160">
      <c r="A160" s="11">
        <f>IFERROR(__xludf.DUMMYFUNCTION("""COMPUTED_VALUE"""),5994.0)</f>
        <v>5994</v>
      </c>
      <c r="B160" s="11" t="str">
        <f>IFERROR(__xludf.DUMMYFUNCTION("""COMPUTED_VALUE"""),"D")</f>
        <v>D</v>
      </c>
      <c r="C160" s="11" t="str">
        <f>IFERROR(__xludf.DUMMYFUNCTION("""COMPUTED_VALUE"""),"Ebosse")</f>
        <v>Ebosse</v>
      </c>
      <c r="D160" s="11" t="str">
        <f>IFERROR(__xludf.DUMMYFUNCTION("""COMPUTED_VALUE"""),"Udinese")</f>
        <v>Udinese</v>
      </c>
      <c r="E160" s="15">
        <f>IFERROR(__xludf.DUMMYFUNCTION("""COMPUTED_VALUE"""),3.0)</f>
        <v>3</v>
      </c>
      <c r="F160" s="17">
        <f>IFERROR(__xludf.DUMMYFUNCTION("""COMPUTED_VALUE"""),0.005)</f>
        <v>0.005</v>
      </c>
      <c r="G160" s="15"/>
      <c r="H160" s="11"/>
      <c r="I160" s="15"/>
    </row>
    <row r="161">
      <c r="A161" s="11">
        <f>IFERROR(__xludf.DUMMYFUNCTION("""COMPUTED_VALUE"""),6977.0)</f>
        <v>6977</v>
      </c>
      <c r="B161" s="11" t="str">
        <f>IFERROR(__xludf.DUMMYFUNCTION("""COMPUTED_VALUE"""),"D")</f>
        <v>D</v>
      </c>
      <c r="C161" s="11" t="str">
        <f>IFERROR(__xludf.DUMMYFUNCTION("""COMPUTED_VALUE"""),"Otoa")</f>
        <v>Otoa</v>
      </c>
      <c r="D161" s="11" t="str">
        <f>IFERROR(__xludf.DUMMYFUNCTION("""COMPUTED_VALUE"""),"Genoa")</f>
        <v>Genoa</v>
      </c>
      <c r="E161" s="15">
        <f>IFERROR(__xludf.DUMMYFUNCTION("""COMPUTED_VALUE"""),3.0)</f>
        <v>3</v>
      </c>
      <c r="F161" s="17">
        <f>IFERROR(__xludf.DUMMYFUNCTION("""COMPUTED_VALUE"""),0.005)</f>
        <v>0.005</v>
      </c>
      <c r="G161" s="15"/>
      <c r="H161" s="11"/>
      <c r="I161" s="15"/>
    </row>
    <row r="162">
      <c r="A162" s="11">
        <f>IFERROR(__xludf.DUMMYFUNCTION("""COMPUTED_VALUE"""),791.0)</f>
        <v>791</v>
      </c>
      <c r="B162" s="11" t="str">
        <f>IFERROR(__xludf.DUMMYFUNCTION("""COMPUTED_VALUE"""),"D")</f>
        <v>D</v>
      </c>
      <c r="C162" s="11" t="str">
        <f>IFERROR(__xludf.DUMMYFUNCTION("""COMPUTED_VALUE"""),"Sabelli")</f>
        <v>Sabelli</v>
      </c>
      <c r="D162" s="11" t="str">
        <f>IFERROR(__xludf.DUMMYFUNCTION("""COMPUTED_VALUE"""),"Genoa")</f>
        <v>Genoa</v>
      </c>
      <c r="E162" s="15">
        <f>IFERROR(__xludf.DUMMYFUNCTION("""COMPUTED_VALUE"""),3.0)</f>
        <v>3</v>
      </c>
      <c r="F162" s="17">
        <f>IFERROR(__xludf.DUMMYFUNCTION("""COMPUTED_VALUE"""),0.005)</f>
        <v>0.005</v>
      </c>
      <c r="G162" s="15"/>
      <c r="H162" s="11"/>
      <c r="I162" s="15"/>
    </row>
    <row r="163">
      <c r="A163" s="11">
        <f>IFERROR(__xludf.DUMMYFUNCTION("""COMPUTED_VALUE"""),2263.0)</f>
        <v>2263</v>
      </c>
      <c r="B163" s="11" t="str">
        <f>IFERROR(__xludf.DUMMYFUNCTION("""COMPUTED_VALUE"""),"D")</f>
        <v>D</v>
      </c>
      <c r="C163" s="11" t="str">
        <f>IFERROR(__xludf.DUMMYFUNCTION("""COMPUTED_VALUE"""),"Lazzari")</f>
        <v>Lazzari</v>
      </c>
      <c r="D163" s="11" t="str">
        <f>IFERROR(__xludf.DUMMYFUNCTION("""COMPUTED_VALUE"""),"Lazio")</f>
        <v>Lazio</v>
      </c>
      <c r="E163" s="15">
        <f>IFERROR(__xludf.DUMMYFUNCTION("""COMPUTED_VALUE"""),3.0)</f>
        <v>3</v>
      </c>
      <c r="F163" s="17">
        <f>IFERROR(__xludf.DUMMYFUNCTION("""COMPUTED_VALUE"""),0.005)</f>
        <v>0.005</v>
      </c>
      <c r="G163" s="15"/>
      <c r="H163" s="11"/>
      <c r="I163" s="15"/>
    </row>
    <row r="164">
      <c r="A164" s="11">
        <f>IFERROR(__xludf.DUMMYFUNCTION("""COMPUTED_VALUE"""),7182.0)</f>
        <v>7182</v>
      </c>
      <c r="B164" s="11" t="str">
        <f>IFERROR(__xludf.DUMMYFUNCTION("""COMPUTED_VALUE"""),"D")</f>
        <v>D</v>
      </c>
      <c r="C164" s="11" t="str">
        <f>IFERROR(__xludf.DUMMYFUNCTION("""COMPUTED_VALUE"""),"Ndaba")</f>
        <v>Ndaba</v>
      </c>
      <c r="D164" s="11" t="str">
        <f>IFERROR(__xludf.DUMMYFUNCTION("""COMPUTED_VALUE"""),"Lecce")</f>
        <v>Lecce</v>
      </c>
      <c r="E164" s="15">
        <f>IFERROR(__xludf.DUMMYFUNCTION("""COMPUTED_VALUE"""),3.0)</f>
        <v>3</v>
      </c>
      <c r="F164" s="17">
        <f>IFERROR(__xludf.DUMMYFUNCTION("""COMPUTED_VALUE"""),0.005)</f>
        <v>0.005</v>
      </c>
      <c r="G164" s="15"/>
      <c r="H164" s="11"/>
      <c r="I164" s="15"/>
    </row>
    <row r="165">
      <c r="A165" s="11">
        <f>IFERROR(__xludf.DUMMYFUNCTION("""COMPUTED_VALUE"""),252.0)</f>
        <v>252</v>
      </c>
      <c r="B165" s="11" t="str">
        <f>IFERROR(__xludf.DUMMYFUNCTION("""COMPUTED_VALUE"""),"D")</f>
        <v>D</v>
      </c>
      <c r="C165" s="11" t="str">
        <f>IFERROR(__xludf.DUMMYFUNCTION("""COMPUTED_VALUE"""),"Biraghi")</f>
        <v>Biraghi</v>
      </c>
      <c r="D165" s="11" t="str">
        <f>IFERROR(__xludf.DUMMYFUNCTION("""COMPUTED_VALUE"""),"Torino")</f>
        <v>Torino</v>
      </c>
      <c r="E165" s="15">
        <f>IFERROR(__xludf.DUMMYFUNCTION("""COMPUTED_VALUE"""),3.0)</f>
        <v>3</v>
      </c>
      <c r="F165" s="17">
        <f>IFERROR(__xludf.DUMMYFUNCTION("""COMPUTED_VALUE"""),0.005)</f>
        <v>0.005</v>
      </c>
      <c r="G165" s="15"/>
      <c r="H165" s="11"/>
      <c r="I165" s="15"/>
    </row>
    <row r="166">
      <c r="A166" s="11">
        <f>IFERROR(__xludf.DUMMYFUNCTION("""COMPUTED_VALUE"""),7548.0)</f>
        <v>7548</v>
      </c>
      <c r="B166" s="11" t="str">
        <f>IFERROR(__xludf.DUMMYFUNCTION("""COMPUTED_VALUE"""),"D")</f>
        <v>D</v>
      </c>
      <c r="C166" s="11" t="str">
        <f>IFERROR(__xludf.DUMMYFUNCTION("""COMPUTED_VALUE"""),"Aurelio")</f>
        <v>Aurelio</v>
      </c>
      <c r="D166" s="11" t="str">
        <f>IFERROR(__xludf.DUMMYFUNCTION("""COMPUTED_VALUE"""),"Cagliari")</f>
        <v>Cagliari</v>
      </c>
      <c r="E166" s="15">
        <f>IFERROR(__xludf.DUMMYFUNCTION("""COMPUTED_VALUE"""),3.0)</f>
        <v>3</v>
      </c>
      <c r="F166" s="17">
        <f>IFERROR(__xludf.DUMMYFUNCTION("""COMPUTED_VALUE"""),0.005)</f>
        <v>0.005</v>
      </c>
      <c r="G166" s="15"/>
      <c r="H166" s="11"/>
      <c r="I166" s="15"/>
    </row>
    <row r="167">
      <c r="A167" s="11">
        <f>IFERROR(__xludf.DUMMYFUNCTION("""COMPUTED_VALUE"""),6537.0)</f>
        <v>6537</v>
      </c>
      <c r="B167" s="11" t="str">
        <f>IFERROR(__xludf.DUMMYFUNCTION("""COMPUTED_VALUE"""),"D")</f>
        <v>D</v>
      </c>
      <c r="C167" s="11" t="str">
        <f>IFERROR(__xludf.DUMMYFUNCTION("""COMPUTED_VALUE"""),"Goglichidze")</f>
        <v>Goglichidze</v>
      </c>
      <c r="D167" s="11" t="str">
        <f>IFERROR(__xludf.DUMMYFUNCTION("""COMPUTED_VALUE"""),"Monza")</f>
        <v>Monza</v>
      </c>
      <c r="E167" s="15">
        <f>IFERROR(__xludf.DUMMYFUNCTION("""COMPUTED_VALUE"""),3.0)</f>
        <v>3</v>
      </c>
      <c r="F167" s="17">
        <f>IFERROR(__xludf.DUMMYFUNCTION("""COMPUTED_VALUE"""),0.005)</f>
        <v>0.005</v>
      </c>
      <c r="G167" s="15"/>
      <c r="H167" s="11"/>
      <c r="I167" s="15"/>
    </row>
    <row r="168">
      <c r="A168" s="11">
        <f>IFERROR(__xludf.DUMMYFUNCTION("""COMPUTED_VALUE"""),7125.0)</f>
        <v>7125</v>
      </c>
      <c r="B168" s="11" t="str">
        <f>IFERROR(__xludf.DUMMYFUNCTION("""COMPUTED_VALUE"""),"D")</f>
        <v>D</v>
      </c>
      <c r="C168" s="11" t="str">
        <f>IFERROR(__xludf.DUMMYFUNCTION("""COMPUTED_VALUE"""),"Idrissi R.")</f>
        <v>Idrissi R.</v>
      </c>
      <c r="D168" s="11" t="str">
        <f>IFERROR(__xludf.DUMMYFUNCTION("""COMPUTED_VALUE"""),"Cagliari")</f>
        <v>Cagliari</v>
      </c>
      <c r="E168" s="15">
        <f>IFERROR(__xludf.DUMMYFUNCTION("""COMPUTED_VALUE"""),2.0)</f>
        <v>2</v>
      </c>
      <c r="F168" s="17">
        <f>IFERROR(__xludf.DUMMYFUNCTION("""COMPUTED_VALUE"""),0.003)</f>
        <v>0.003</v>
      </c>
      <c r="G168" s="15"/>
      <c r="H168" s="11"/>
      <c r="I168" s="15"/>
    </row>
    <row r="169">
      <c r="A169" s="11">
        <f>IFERROR(__xludf.DUMMYFUNCTION("""COMPUTED_VALUE"""),7413.0)</f>
        <v>7413</v>
      </c>
      <c r="B169" s="11" t="str">
        <f>IFERROR(__xludf.DUMMYFUNCTION("""COMPUTED_VALUE"""),"D")</f>
        <v>D</v>
      </c>
      <c r="C169" s="11" t="str">
        <f>IFERROR(__xludf.DUMMYFUNCTION("""COMPUTED_VALUE"""),"Puczka")</f>
        <v>Puczka</v>
      </c>
      <c r="D169" s="11" t="str">
        <f>IFERROR(__xludf.DUMMYFUNCTION("""COMPUTED_VALUE"""),"Genoa")</f>
        <v>Genoa</v>
      </c>
      <c r="E169" s="15">
        <f>IFERROR(__xludf.DUMMYFUNCTION("""COMPUTED_VALUE"""),2.0)</f>
        <v>2</v>
      </c>
      <c r="F169" s="17">
        <f>IFERROR(__xludf.DUMMYFUNCTION("""COMPUTED_VALUE"""),0.003)</f>
        <v>0.003</v>
      </c>
      <c r="G169" s="15"/>
      <c r="H169" s="11"/>
      <c r="I169" s="15"/>
    </row>
    <row r="170">
      <c r="A170" s="11">
        <f>IFERROR(__xludf.DUMMYFUNCTION("""COMPUTED_VALUE"""),6883.0)</f>
        <v>6883</v>
      </c>
      <c r="B170" s="11" t="str">
        <f>IFERROR(__xludf.DUMMYFUNCTION("""COMPUTED_VALUE"""),"D")</f>
        <v>D</v>
      </c>
      <c r="C170" s="11" t="str">
        <f>IFERROR(__xludf.DUMMYFUNCTION("""COMPUTED_VALUE"""),"Jean")</f>
        <v>Jean</v>
      </c>
      <c r="D170" s="11" t="str">
        <f>IFERROR(__xludf.DUMMYFUNCTION("""COMPUTED_VALUE"""),"Lecce")</f>
        <v>Lecce</v>
      </c>
      <c r="E170" s="15">
        <f>IFERROR(__xludf.DUMMYFUNCTION("""COMPUTED_VALUE"""),2.0)</f>
        <v>2</v>
      </c>
      <c r="F170" s="17">
        <f>IFERROR(__xludf.DUMMYFUNCTION("""COMPUTED_VALUE"""),0.004)</f>
        <v>0.004</v>
      </c>
      <c r="G170" s="15"/>
      <c r="H170" s="11"/>
      <c r="I170" s="15"/>
    </row>
    <row r="171">
      <c r="A171" s="11">
        <f>IFERROR(__xludf.DUMMYFUNCTION("""COMPUTED_VALUE"""),7525.0)</f>
        <v>7525</v>
      </c>
      <c r="B171" s="11" t="str">
        <f>IFERROR(__xludf.DUMMYFUNCTION("""COMPUTED_VALUE"""),"D")</f>
        <v>D</v>
      </c>
      <c r="C171" s="11" t="str">
        <f>IFERROR(__xludf.DUMMYFUNCTION("""COMPUTED_VALUE"""),"Diawara S.")</f>
        <v>Diawara S.</v>
      </c>
      <c r="D171" s="11" t="str">
        <f>IFERROR(__xludf.DUMMYFUNCTION("""COMPUTED_VALUE"""),"Milan")</f>
        <v>Milan</v>
      </c>
      <c r="E171" s="15">
        <f>IFERROR(__xludf.DUMMYFUNCTION("""COMPUTED_VALUE"""),2.0)</f>
        <v>2</v>
      </c>
      <c r="F171" s="17">
        <f>IFERROR(__xludf.DUMMYFUNCTION("""COMPUTED_VALUE"""),0.004)</f>
        <v>0.004</v>
      </c>
      <c r="G171" s="15"/>
      <c r="H171" s="11"/>
      <c r="I171" s="15"/>
    </row>
    <row r="172">
      <c r="A172" s="11">
        <f>IFERROR(__xludf.DUMMYFUNCTION("""COMPUTED_VALUE"""),7476.0)</f>
        <v>7476</v>
      </c>
      <c r="B172" s="11" t="str">
        <f>IFERROR(__xludf.DUMMYFUNCTION("""COMPUTED_VALUE"""),"D")</f>
        <v>D</v>
      </c>
      <c r="C172" s="11" t="str">
        <f>IFERROR(__xludf.DUMMYFUNCTION("""COMPUTED_VALUE"""),"Bakoune")</f>
        <v>Bakoune</v>
      </c>
      <c r="D172" s="11" t="str">
        <f>IFERROR(__xludf.DUMMYFUNCTION("""COMPUTED_VALUE"""),"Monza")</f>
        <v>Monza</v>
      </c>
      <c r="E172" s="15">
        <f>IFERROR(__xludf.DUMMYFUNCTION("""COMPUTED_VALUE"""),2.0)</f>
        <v>2</v>
      </c>
      <c r="F172" s="17">
        <f>IFERROR(__xludf.DUMMYFUNCTION("""COMPUTED_VALUE"""),0.004)</f>
        <v>0.004</v>
      </c>
      <c r="G172" s="15"/>
      <c r="H172" s="11"/>
      <c r="I172" s="15"/>
    </row>
    <row r="173">
      <c r="A173" s="11">
        <f>IFERROR(__xludf.DUMMYFUNCTION("""COMPUTED_VALUE"""),6681.0)</f>
        <v>6681</v>
      </c>
      <c r="B173" s="11" t="str">
        <f>IFERROR(__xludf.DUMMYFUNCTION("""COMPUTED_VALUE"""),"D")</f>
        <v>D</v>
      </c>
      <c r="C173" s="11" t="str">
        <f>IFERROR(__xludf.DUMMYFUNCTION("""COMPUTED_VALUE"""),"Sagrado")</f>
        <v>Sagrado</v>
      </c>
      <c r="D173" s="11" t="str">
        <f>IFERROR(__xludf.DUMMYFUNCTION("""COMPUTED_VALUE"""),"Venezia")</f>
        <v>Venezia</v>
      </c>
      <c r="E173" s="15">
        <f>IFERROR(__xludf.DUMMYFUNCTION("""COMPUTED_VALUE"""),2.0)</f>
        <v>2</v>
      </c>
      <c r="F173" s="17">
        <f>IFERROR(__xludf.DUMMYFUNCTION("""COMPUTED_VALUE"""),0.004)</f>
        <v>0.004</v>
      </c>
      <c r="G173" s="15"/>
      <c r="H173" s="11"/>
      <c r="I173" s="15"/>
    </row>
    <row r="174">
      <c r="A174" s="11">
        <f>IFERROR(__xludf.DUMMYFUNCTION("""COMPUTED_VALUE"""),7573.0)</f>
        <v>7573</v>
      </c>
      <c r="B174" s="11" t="str">
        <f>IFERROR(__xludf.DUMMYFUNCTION("""COMPUTED_VALUE"""),"D")</f>
        <v>D</v>
      </c>
      <c r="C174" s="11" t="str">
        <f>IFERROR(__xludf.DUMMYFUNCTION("""COMPUTED_VALUE"""),"Cinquegrano")</f>
        <v>Cinquegrano</v>
      </c>
      <c r="D174" s="11" t="str">
        <f>IFERROR(__xludf.DUMMYFUNCTION("""COMPUTED_VALUE"""),"Sassuolo")</f>
        <v>Sassuolo</v>
      </c>
      <c r="E174" s="15">
        <f>IFERROR(__xludf.DUMMYFUNCTION("""COMPUTED_VALUE"""),2.0)</f>
        <v>2</v>
      </c>
      <c r="F174" s="17">
        <f>IFERROR(__xludf.DUMMYFUNCTION("""COMPUTED_VALUE"""),0.004)</f>
        <v>0.004</v>
      </c>
      <c r="G174" s="15"/>
      <c r="H174" s="11"/>
      <c r="I174" s="15"/>
    </row>
    <row r="175">
      <c r="A175" s="11">
        <f>IFERROR(__xludf.DUMMYFUNCTION("""COMPUTED_VALUE"""),5812.0)</f>
        <v>5812</v>
      </c>
      <c r="B175" s="11" t="str">
        <f>IFERROR(__xludf.DUMMYFUNCTION("""COMPUTED_VALUE"""),"D")</f>
        <v>D</v>
      </c>
      <c r="C175" s="11" t="str">
        <f>IFERROR(__xludf.DUMMYFUNCTION("""COMPUTED_VALUE"""),"Terracciano F.")</f>
        <v>Terracciano F.</v>
      </c>
      <c r="D175" s="11" t="str">
        <f>IFERROR(__xludf.DUMMYFUNCTION("""COMPUTED_VALUE"""),"Milan")</f>
        <v>Milan</v>
      </c>
      <c r="E175" s="15">
        <f>IFERROR(__xludf.DUMMYFUNCTION("""COMPUTED_VALUE"""),2.0)</f>
        <v>2</v>
      </c>
      <c r="F175" s="17">
        <f>IFERROR(__xludf.DUMMYFUNCTION("""COMPUTED_VALUE"""),0.004)</f>
        <v>0.004</v>
      </c>
      <c r="G175" s="15"/>
      <c r="H175" s="11"/>
      <c r="I175" s="15"/>
    </row>
    <row r="176">
      <c r="A176" s="11">
        <f>IFERROR(__xludf.DUMMYFUNCTION("""COMPUTED_VALUE"""),487.0)</f>
        <v>487</v>
      </c>
      <c r="B176" s="11" t="str">
        <f>IFERROR(__xludf.DUMMYFUNCTION("""COMPUTED_VALUE"""),"D")</f>
        <v>D</v>
      </c>
      <c r="C176" s="11" t="str">
        <f>IFERROR(__xludf.DUMMYFUNCTION("""COMPUTED_VALUE"""),"De Silvestri")</f>
        <v>De Silvestri</v>
      </c>
      <c r="D176" s="11" t="str">
        <f>IFERROR(__xludf.DUMMYFUNCTION("""COMPUTED_VALUE"""),"Bologna")</f>
        <v>Bologna</v>
      </c>
      <c r="E176" s="15">
        <f>IFERROR(__xludf.DUMMYFUNCTION("""COMPUTED_VALUE"""),2.0)</f>
        <v>2</v>
      </c>
      <c r="F176" s="17">
        <f>IFERROR(__xludf.DUMMYFUNCTION("""COMPUTED_VALUE"""),0.004)</f>
        <v>0.004</v>
      </c>
      <c r="G176" s="15"/>
      <c r="H176" s="11"/>
      <c r="I176" s="15"/>
    </row>
    <row r="177">
      <c r="A177" s="11">
        <f>IFERROR(__xludf.DUMMYFUNCTION("""COMPUTED_VALUE"""),294.0)</f>
        <v>294</v>
      </c>
      <c r="B177" s="11" t="str">
        <f>IFERROR(__xludf.DUMMYFUNCTION("""COMPUTED_VALUE"""),"D")</f>
        <v>D</v>
      </c>
      <c r="C177" s="11" t="str">
        <f>IFERROR(__xludf.DUMMYFUNCTION("""COMPUTED_VALUE"""),"Rugani")</f>
        <v>Rugani</v>
      </c>
      <c r="D177" s="11" t="str">
        <f>IFERROR(__xludf.DUMMYFUNCTION("""COMPUTED_VALUE"""),"Juventus")</f>
        <v>Juventus</v>
      </c>
      <c r="E177" s="15">
        <f>IFERROR(__xludf.DUMMYFUNCTION("""COMPUTED_VALUE"""),2.0)</f>
        <v>2</v>
      </c>
      <c r="F177" s="17">
        <f>IFERROR(__xludf.DUMMYFUNCTION("""COMPUTED_VALUE"""),0.003)</f>
        <v>0.003</v>
      </c>
      <c r="G177" s="15"/>
      <c r="H177" s="11"/>
      <c r="I177" s="15"/>
    </row>
    <row r="178">
      <c r="A178" s="11">
        <f>IFERROR(__xludf.DUMMYFUNCTION("""COMPUTED_VALUE"""),6039.0)</f>
        <v>6039</v>
      </c>
      <c r="B178" s="11" t="str">
        <f>IFERROR(__xludf.DUMMYFUNCTION("""COMPUTED_VALUE"""),"D")</f>
        <v>D</v>
      </c>
      <c r="C178" s="11" t="str">
        <f>IFERROR(__xludf.DUMMYFUNCTION("""COMPUTED_VALUE"""),"Cabal")</f>
        <v>Cabal</v>
      </c>
      <c r="D178" s="11" t="str">
        <f>IFERROR(__xludf.DUMMYFUNCTION("""COMPUTED_VALUE"""),"Juventus")</f>
        <v>Juventus</v>
      </c>
      <c r="E178" s="15">
        <f>IFERROR(__xludf.DUMMYFUNCTION("""COMPUTED_VALUE"""),2.0)</f>
        <v>2</v>
      </c>
      <c r="F178" s="17">
        <f>IFERROR(__xludf.DUMMYFUNCTION("""COMPUTED_VALUE"""),0.004)</f>
        <v>0.004</v>
      </c>
      <c r="G178" s="15"/>
      <c r="H178" s="11"/>
      <c r="I178" s="15"/>
    </row>
    <row r="179">
      <c r="A179" s="11">
        <f>IFERROR(__xludf.DUMMYFUNCTION("""COMPUTED_VALUE"""),6809.0)</f>
        <v>6809</v>
      </c>
      <c r="B179" s="11" t="str">
        <f>IFERROR(__xludf.DUMMYFUNCTION("""COMPUTED_VALUE"""),"D")</f>
        <v>D</v>
      </c>
      <c r="C179" s="11" t="str">
        <f>IFERROR(__xludf.DUMMYFUNCTION("""COMPUTED_VALUE"""),"Marianucci")</f>
        <v>Marianucci</v>
      </c>
      <c r="D179" s="11" t="str">
        <f>IFERROR(__xludf.DUMMYFUNCTION("""COMPUTED_VALUE"""),"Napoli")</f>
        <v>Napoli</v>
      </c>
      <c r="E179" s="15">
        <f>IFERROR(__xludf.DUMMYFUNCTION("""COMPUTED_VALUE"""),2.0)</f>
        <v>2</v>
      </c>
      <c r="F179" s="17">
        <f>IFERROR(__xludf.DUMMYFUNCTION("""COMPUTED_VALUE"""),0.003)</f>
        <v>0.003</v>
      </c>
      <c r="G179" s="15"/>
      <c r="H179" s="11"/>
      <c r="I179" s="15"/>
    </row>
    <row r="180">
      <c r="A180" s="11">
        <f>IFERROR(__xludf.DUMMYFUNCTION("""COMPUTED_VALUE"""),6149.0)</f>
        <v>6149</v>
      </c>
      <c r="B180" s="11" t="str">
        <f>IFERROR(__xludf.DUMMYFUNCTION("""COMPUTED_VALUE"""),"D")</f>
        <v>D</v>
      </c>
      <c r="C180" s="11" t="str">
        <f>IFERROR(__xludf.DUMMYFUNCTION("""COMPUTED_VALUE"""),"Carboni F.")</f>
        <v>Carboni F.</v>
      </c>
      <c r="D180" s="11" t="str">
        <f>IFERROR(__xludf.DUMMYFUNCTION("""COMPUTED_VALUE"""),"Parma")</f>
        <v>Parma</v>
      </c>
      <c r="E180" s="15">
        <f>IFERROR(__xludf.DUMMYFUNCTION("""COMPUTED_VALUE"""),2.0)</f>
        <v>2</v>
      </c>
      <c r="F180" s="17">
        <f>IFERROR(__xludf.DUMMYFUNCTION("""COMPUTED_VALUE"""),0.003)</f>
        <v>0.003</v>
      </c>
      <c r="G180" s="15"/>
      <c r="H180" s="11"/>
      <c r="I180" s="15"/>
    </row>
    <row r="181">
      <c r="A181" s="11">
        <f>IFERROR(__xludf.DUMMYFUNCTION("""COMPUTED_VALUE"""),7615.0)</f>
        <v>7615</v>
      </c>
      <c r="B181" s="11" t="str">
        <f>IFERROR(__xludf.DUMMYFUNCTION("""COMPUTED_VALUE"""),"D")</f>
        <v>D</v>
      </c>
      <c r="C181" s="11" t="str">
        <f>IFERROR(__xludf.DUMMYFUNCTION("""COMPUTED_VALUE"""),"Drobnic")</f>
        <v>Drobnic</v>
      </c>
      <c r="D181" s="11" t="str">
        <f>IFERROR(__xludf.DUMMYFUNCTION("""COMPUTED_VALUE"""),"Parma")</f>
        <v>Parma</v>
      </c>
      <c r="E181" s="15">
        <f>IFERROR(__xludf.DUMMYFUNCTION("""COMPUTED_VALUE"""),1.0)</f>
        <v>1</v>
      </c>
      <c r="F181" s="17">
        <f>IFERROR(__xludf.DUMMYFUNCTION("""COMPUTED_VALUE"""),0.001)</f>
        <v>0.001</v>
      </c>
      <c r="G181" s="15"/>
      <c r="H181" s="11"/>
      <c r="I181" s="15"/>
    </row>
    <row r="182">
      <c r="A182" s="11">
        <f>IFERROR(__xludf.DUMMYFUNCTION("""COMPUTED_VALUE"""),418.0)</f>
        <v>418</v>
      </c>
      <c r="B182" s="11" t="str">
        <f>IFERROR(__xludf.DUMMYFUNCTION("""COMPUTED_VALUE"""),"D")</f>
        <v>D</v>
      </c>
      <c r="C182" s="11" t="str">
        <f>IFERROR(__xludf.DUMMYFUNCTION("""COMPUTED_VALUE"""),"Goldaniga")</f>
        <v>Goldaniga</v>
      </c>
      <c r="D182" s="11" t="str">
        <f>IFERROR(__xludf.DUMMYFUNCTION("""COMPUTED_VALUE"""),"Como")</f>
        <v>Como</v>
      </c>
      <c r="E182" s="15">
        <f>IFERROR(__xludf.DUMMYFUNCTION("""COMPUTED_VALUE"""),1.0)</f>
        <v>1</v>
      </c>
      <c r="F182" s="17">
        <f>IFERROR(__xludf.DUMMYFUNCTION("""COMPUTED_VALUE"""),0.001)</f>
        <v>0.001</v>
      </c>
      <c r="G182" s="15"/>
      <c r="H182" s="11"/>
      <c r="I182" s="15"/>
    </row>
    <row r="183">
      <c r="A183" s="11">
        <f>IFERROR(__xludf.DUMMYFUNCTION("""COMPUTED_VALUE"""),5424.0)</f>
        <v>5424</v>
      </c>
      <c r="B183" s="11" t="str">
        <f>IFERROR(__xludf.DUMMYFUNCTION("""COMPUTED_VALUE"""),"D")</f>
        <v>D</v>
      </c>
      <c r="C183" s="11" t="str">
        <f>IFERROR(__xludf.DUMMYFUNCTION("""COMPUTED_VALUE"""),"Amey")</f>
        <v>Amey</v>
      </c>
      <c r="D183" s="11" t="str">
        <f>IFERROR(__xludf.DUMMYFUNCTION("""COMPUTED_VALUE"""),"Frosinone")</f>
        <v>Frosinone</v>
      </c>
      <c r="E183" s="15">
        <f>IFERROR(__xludf.DUMMYFUNCTION("""COMPUTED_VALUE"""),1.0)</f>
        <v>1</v>
      </c>
      <c r="F183" s="17">
        <f>IFERROR(__xludf.DUMMYFUNCTION("""COMPUTED_VALUE"""),0.001)</f>
        <v>0.001</v>
      </c>
      <c r="G183" s="15"/>
      <c r="H183" s="11"/>
      <c r="I183" s="15"/>
    </row>
    <row r="184">
      <c r="A184" s="11">
        <f>IFERROR(__xludf.DUMMYFUNCTION("""COMPUTED_VALUE"""),327.0)</f>
        <v>327</v>
      </c>
      <c r="B184" s="11" t="str">
        <f>IFERROR(__xludf.DUMMYFUNCTION("""COMPUTED_VALUE"""),"D")</f>
        <v>D</v>
      </c>
      <c r="C184" s="11" t="str">
        <f>IFERROR(__xludf.DUMMYFUNCTION("""COMPUTED_VALUE"""),"Patric")</f>
        <v>Patric</v>
      </c>
      <c r="D184" s="11" t="str">
        <f>IFERROR(__xludf.DUMMYFUNCTION("""COMPUTED_VALUE"""),"Lazio")</f>
        <v>Lazio</v>
      </c>
      <c r="E184" s="15">
        <f>IFERROR(__xludf.DUMMYFUNCTION("""COMPUTED_VALUE"""),1.0)</f>
        <v>1</v>
      </c>
      <c r="F184" s="17">
        <f>IFERROR(__xludf.DUMMYFUNCTION("""COMPUTED_VALUE"""),0.001)</f>
        <v>0.001</v>
      </c>
      <c r="G184" s="15"/>
      <c r="H184" s="11"/>
      <c r="I184" s="15"/>
    </row>
    <row r="185">
      <c r="A185" s="11">
        <f>IFERROR(__xludf.DUMMYFUNCTION("""COMPUTED_VALUE"""),5399.0)</f>
        <v>5399</v>
      </c>
      <c r="B185" s="11" t="str">
        <f>IFERROR(__xludf.DUMMYFUNCTION("""COMPUTED_VALUE"""),"D")</f>
        <v>D</v>
      </c>
      <c r="C185" s="11" t="str">
        <f>IFERROR(__xludf.DUMMYFUNCTION("""COMPUTED_VALUE"""),"Antov")</f>
        <v>Antov</v>
      </c>
      <c r="D185" s="11" t="str">
        <f>IFERROR(__xludf.DUMMYFUNCTION("""COMPUTED_VALUE"""),"Monza")</f>
        <v>Monza</v>
      </c>
      <c r="E185" s="15">
        <f>IFERROR(__xludf.DUMMYFUNCTION("""COMPUTED_VALUE"""),1.0)</f>
        <v>1</v>
      </c>
      <c r="F185" s="17">
        <f>IFERROR(__xludf.DUMMYFUNCTION("""COMPUTED_VALUE"""),0.002)</f>
        <v>0.002</v>
      </c>
      <c r="G185" s="15"/>
      <c r="H185" s="11"/>
      <c r="I185" s="15"/>
    </row>
    <row r="186">
      <c r="A186" s="11">
        <f>IFERROR(__xludf.DUMMYFUNCTION("""COMPUTED_VALUE"""),7156.0)</f>
        <v>7156</v>
      </c>
      <c r="B186" s="11" t="str">
        <f>IFERROR(__xludf.DUMMYFUNCTION("""COMPUTED_VALUE"""),"D")</f>
        <v>D</v>
      </c>
      <c r="C186" s="11" t="str">
        <f>IFERROR(__xludf.DUMMYFUNCTION("""COMPUTED_VALUE"""),"Pieragnolo")</f>
        <v>Pieragnolo</v>
      </c>
      <c r="D186" s="11" t="str">
        <f>IFERROR(__xludf.DUMMYFUNCTION("""COMPUTED_VALUE"""),"Sassuolo")</f>
        <v>Sassuolo</v>
      </c>
      <c r="E186" s="15">
        <f>IFERROR(__xludf.DUMMYFUNCTION("""COMPUTED_VALUE"""),1.0)</f>
        <v>1</v>
      </c>
      <c r="F186" s="17">
        <f>IFERROR(__xludf.DUMMYFUNCTION("""COMPUTED_VALUE"""),0.001)</f>
        <v>0.001</v>
      </c>
      <c r="G186" s="15"/>
      <c r="H186" s="11"/>
      <c r="I186" s="15"/>
    </row>
    <row r="187">
      <c r="A187" s="11">
        <f>IFERROR(__xludf.DUMMYFUNCTION("""COMPUTED_VALUE"""),7454.0)</f>
        <v>7454</v>
      </c>
      <c r="B187" s="11" t="str">
        <f>IFERROR(__xludf.DUMMYFUNCTION("""COMPUTED_VALUE"""),"D")</f>
        <v>D</v>
      </c>
      <c r="C187" s="11" t="str">
        <f>IFERROR(__xludf.DUMMYFUNCTION("""COMPUTED_VALUE"""),"Gomes")</f>
        <v>Gomes</v>
      </c>
      <c r="D187" s="11" t="str">
        <f>IFERROR(__xludf.DUMMYFUNCTION("""COMPUTED_VALUE"""),"Venezia")</f>
        <v>Venezia</v>
      </c>
      <c r="E187" s="15">
        <f>IFERROR(__xludf.DUMMYFUNCTION("""COMPUTED_VALUE"""),1.0)</f>
        <v>1</v>
      </c>
      <c r="F187" s="17">
        <f>IFERROR(__xludf.DUMMYFUNCTION("""COMPUTED_VALUE"""),0.001)</f>
        <v>0.001</v>
      </c>
      <c r="G187" s="15"/>
      <c r="H187" s="11"/>
      <c r="I187" s="15"/>
    </row>
    <row r="188">
      <c r="A188" s="11">
        <f>IFERROR(__xludf.DUMMYFUNCTION("""COMPUTED_VALUE"""),7553.0)</f>
        <v>7553</v>
      </c>
      <c r="B188" s="11" t="str">
        <f>IFERROR(__xludf.DUMMYFUNCTION("""COMPUTED_VALUE"""),"D")</f>
        <v>D</v>
      </c>
      <c r="C188" s="11" t="str">
        <f>IFERROR(__xludf.DUMMYFUNCTION("""COMPUTED_VALUE"""),"Omar Fayed")</f>
        <v>Omar Fayed</v>
      </c>
      <c r="D188" s="11" t="str">
        <f>IFERROR(__xludf.DUMMYFUNCTION("""COMPUTED_VALUE"""),"Frosinone")</f>
        <v>Frosinone</v>
      </c>
      <c r="E188" s="15">
        <f>IFERROR(__xludf.DUMMYFUNCTION("""COMPUTED_VALUE"""),1.0)</f>
        <v>1</v>
      </c>
      <c r="F188" s="17">
        <f>IFERROR(__xludf.DUMMYFUNCTION("""COMPUTED_VALUE"""),0.001)</f>
        <v>0.001</v>
      </c>
      <c r="G188" s="15"/>
      <c r="H188" s="11"/>
      <c r="I188" s="15"/>
    </row>
    <row r="189">
      <c r="A189" s="11">
        <f>IFERROR(__xludf.DUMMYFUNCTION("""COMPUTED_VALUE"""),7604.0)</f>
        <v>7604</v>
      </c>
      <c r="B189" s="11" t="str">
        <f>IFERROR(__xludf.DUMMYFUNCTION("""COMPUTED_VALUE"""),"D")</f>
        <v>D</v>
      </c>
      <c r="C189" s="11" t="str">
        <f>IFERROR(__xludf.DUMMYFUNCTION("""COMPUTED_VALUE"""),"Maye")</f>
        <v>Maye</v>
      </c>
      <c r="D189" s="11" t="str">
        <f>IFERROR(__xludf.DUMMYFUNCTION("""COMPUTED_VALUE"""),"Monza")</f>
        <v>Monza</v>
      </c>
      <c r="E189" s="15">
        <f>IFERROR(__xludf.DUMMYFUNCTION("""COMPUTED_VALUE"""),1.0)</f>
        <v>1</v>
      </c>
      <c r="F189" s="17">
        <f>IFERROR(__xludf.DUMMYFUNCTION("""COMPUTED_VALUE"""),0.001)</f>
        <v>0.001</v>
      </c>
      <c r="G189" s="15"/>
      <c r="H189" s="11"/>
      <c r="I189" s="15"/>
    </row>
    <row r="190">
      <c r="A190" s="11">
        <f>IFERROR(__xludf.DUMMYFUNCTION("""COMPUTED_VALUE"""),6826.0)</f>
        <v>6826</v>
      </c>
      <c r="B190" s="11" t="str">
        <f>IFERROR(__xludf.DUMMYFUNCTION("""COMPUTED_VALUE"""),"D")</f>
        <v>D</v>
      </c>
      <c r="C190" s="11" t="str">
        <f>IFERROR(__xludf.DUMMYFUNCTION("""COMPUTED_VALUE"""),"Dembelè A.")</f>
        <v>Dembelè A.</v>
      </c>
      <c r="D190" s="11" t="str">
        <f>IFERROR(__xludf.DUMMYFUNCTION("""COMPUTED_VALUE"""),"Lecce")</f>
        <v>Lecce</v>
      </c>
      <c r="E190" s="15">
        <f>IFERROR(__xludf.DUMMYFUNCTION("""COMPUTED_VALUE"""),1.0)</f>
        <v>1</v>
      </c>
      <c r="F190" s="17">
        <f>IFERROR(__xludf.DUMMYFUNCTION("""COMPUTED_VALUE"""),0.001)</f>
        <v>0.001</v>
      </c>
      <c r="G190" s="15"/>
      <c r="H190" s="11"/>
      <c r="I190" s="15"/>
    </row>
    <row r="191">
      <c r="E191" s="15"/>
      <c r="F191" s="17"/>
      <c r="G191" s="15"/>
      <c r="I191" s="15"/>
    </row>
    <row r="192">
      <c r="E192" s="15"/>
      <c r="F192" s="17"/>
      <c r="G192" s="15"/>
      <c r="I192" s="15"/>
    </row>
    <row r="193">
      <c r="E193" s="15"/>
      <c r="F193" s="17"/>
      <c r="G193" s="15"/>
      <c r="I193" s="15"/>
    </row>
    <row r="194">
      <c r="E194" s="15"/>
      <c r="F194" s="17"/>
      <c r="G194" s="15"/>
      <c r="I194" s="15"/>
    </row>
    <row r="195">
      <c r="E195" s="15"/>
      <c r="F195" s="17"/>
      <c r="G195" s="15"/>
      <c r="I195" s="15"/>
    </row>
    <row r="196">
      <c r="E196" s="15"/>
      <c r="F196" s="17"/>
      <c r="G196" s="15"/>
      <c r="I196" s="15"/>
    </row>
    <row r="197">
      <c r="E197" s="15"/>
      <c r="F197" s="17"/>
      <c r="G197" s="15"/>
      <c r="I197" s="15"/>
    </row>
    <row r="198">
      <c r="E198" s="15"/>
      <c r="F198" s="17"/>
      <c r="G198" s="15"/>
      <c r="I198" s="15"/>
    </row>
    <row r="199">
      <c r="E199" s="15"/>
      <c r="F199" s="17"/>
      <c r="G199" s="15"/>
      <c r="I199" s="15"/>
    </row>
    <row r="200">
      <c r="E200" s="15"/>
      <c r="F200" s="17"/>
      <c r="G200" s="15"/>
      <c r="I200" s="15"/>
    </row>
    <row r="201">
      <c r="E201" s="15"/>
      <c r="F201" s="17"/>
      <c r="G201" s="15"/>
      <c r="I201" s="15"/>
    </row>
    <row r="202">
      <c r="E202" s="15"/>
      <c r="F202" s="17"/>
      <c r="G202" s="15"/>
      <c r="I202" s="15"/>
    </row>
    <row r="203">
      <c r="E203" s="15"/>
      <c r="F203" s="17"/>
      <c r="G203" s="15"/>
      <c r="I203" s="15"/>
    </row>
    <row r="204">
      <c r="E204" s="15"/>
      <c r="F204" s="17"/>
      <c r="G204" s="15"/>
      <c r="I204" s="15"/>
    </row>
    <row r="205">
      <c r="E205" s="15"/>
      <c r="F205" s="17"/>
      <c r="G205" s="15"/>
      <c r="I205" s="15"/>
    </row>
    <row r="206">
      <c r="E206" s="15"/>
      <c r="F206" s="17"/>
      <c r="G206" s="15"/>
      <c r="I206" s="15"/>
    </row>
    <row r="207">
      <c r="E207" s="15"/>
      <c r="F207" s="17"/>
      <c r="G207" s="15"/>
      <c r="I207" s="15"/>
    </row>
    <row r="208">
      <c r="E208" s="15"/>
      <c r="F208" s="17"/>
      <c r="G208" s="15"/>
      <c r="I208" s="15"/>
    </row>
    <row r="209">
      <c r="E209" s="15"/>
      <c r="F209" s="17"/>
      <c r="G209" s="15"/>
      <c r="I209" s="15"/>
    </row>
    <row r="210">
      <c r="E210" s="15"/>
      <c r="F210" s="17"/>
      <c r="G210" s="15"/>
      <c r="I210" s="15"/>
    </row>
    <row r="211">
      <c r="E211" s="15"/>
      <c r="F211" s="17"/>
      <c r="G211" s="15"/>
      <c r="I211" s="15"/>
    </row>
    <row r="212">
      <c r="E212" s="15"/>
      <c r="F212" s="17"/>
      <c r="G212" s="15"/>
      <c r="I212" s="15"/>
    </row>
    <row r="213">
      <c r="E213" s="15"/>
      <c r="F213" s="17"/>
      <c r="G213" s="15"/>
      <c r="I213" s="15"/>
    </row>
    <row r="214">
      <c r="E214" s="15"/>
      <c r="F214" s="17"/>
      <c r="G214" s="15"/>
      <c r="I214" s="15"/>
    </row>
    <row r="215">
      <c r="E215" s="15"/>
      <c r="F215" s="17"/>
      <c r="G215" s="15"/>
      <c r="I215" s="15"/>
    </row>
    <row r="216">
      <c r="E216" s="15"/>
      <c r="F216" s="17"/>
      <c r="G216" s="15"/>
      <c r="I216" s="15"/>
    </row>
    <row r="217">
      <c r="E217" s="15"/>
      <c r="F217" s="17"/>
      <c r="G217" s="15"/>
      <c r="I217" s="15"/>
    </row>
    <row r="218">
      <c r="E218" s="15"/>
      <c r="F218" s="17"/>
      <c r="G218" s="15"/>
      <c r="I218" s="15"/>
    </row>
    <row r="219">
      <c r="E219" s="15"/>
      <c r="F219" s="17"/>
      <c r="G219" s="15"/>
      <c r="I219" s="15"/>
    </row>
    <row r="220">
      <c r="E220" s="15"/>
      <c r="F220" s="17"/>
      <c r="G220" s="15"/>
      <c r="I220" s="15"/>
    </row>
    <row r="221">
      <c r="E221" s="15"/>
      <c r="F221" s="17"/>
      <c r="G221" s="15"/>
      <c r="I221" s="15"/>
    </row>
    <row r="222">
      <c r="E222" s="15"/>
      <c r="F222" s="17"/>
      <c r="G222" s="15"/>
      <c r="I222" s="15"/>
    </row>
    <row r="223">
      <c r="E223" s="15"/>
      <c r="F223" s="17"/>
      <c r="G223" s="15"/>
      <c r="I223" s="15"/>
    </row>
    <row r="224">
      <c r="E224" s="15"/>
      <c r="F224" s="17"/>
      <c r="G224" s="15"/>
      <c r="I224" s="15"/>
    </row>
    <row r="225">
      <c r="E225" s="15"/>
      <c r="F225" s="17"/>
      <c r="G225" s="15"/>
      <c r="I225" s="15"/>
    </row>
    <row r="226">
      <c r="E226" s="15"/>
      <c r="F226" s="17"/>
      <c r="G226" s="15"/>
      <c r="I226" s="15"/>
    </row>
    <row r="227">
      <c r="E227" s="15"/>
      <c r="F227" s="17"/>
      <c r="G227" s="15"/>
      <c r="I227" s="15"/>
    </row>
    <row r="228">
      <c r="E228" s="15"/>
      <c r="F228" s="17"/>
      <c r="G228" s="15"/>
      <c r="I228" s="15"/>
    </row>
    <row r="229">
      <c r="E229" s="15"/>
      <c r="F229" s="17"/>
      <c r="G229" s="15"/>
      <c r="I229" s="15"/>
    </row>
    <row r="230">
      <c r="E230" s="15"/>
      <c r="F230" s="17"/>
      <c r="G230" s="15"/>
      <c r="I230" s="15"/>
    </row>
    <row r="231">
      <c r="E231" s="15"/>
      <c r="F231" s="17"/>
      <c r="G231" s="15"/>
      <c r="I231" s="15"/>
    </row>
    <row r="232">
      <c r="E232" s="15"/>
      <c r="F232" s="17"/>
      <c r="G232" s="15"/>
      <c r="I232" s="15"/>
    </row>
    <row r="233">
      <c r="E233" s="15"/>
      <c r="F233" s="17"/>
      <c r="G233" s="15"/>
      <c r="I233" s="15"/>
    </row>
    <row r="234">
      <c r="E234" s="15"/>
      <c r="F234" s="17"/>
      <c r="G234" s="15"/>
      <c r="I234" s="15"/>
    </row>
    <row r="235">
      <c r="E235" s="15"/>
      <c r="F235" s="17"/>
      <c r="G235" s="15"/>
      <c r="I235" s="15"/>
    </row>
    <row r="236">
      <c r="E236" s="15"/>
      <c r="F236" s="17"/>
      <c r="G236" s="15"/>
      <c r="I236" s="15"/>
    </row>
    <row r="237">
      <c r="E237" s="15"/>
      <c r="F237" s="17"/>
      <c r="G237" s="15"/>
      <c r="I237" s="15"/>
    </row>
    <row r="238">
      <c r="E238" s="15"/>
      <c r="F238" s="17"/>
      <c r="G238" s="15"/>
      <c r="I238" s="15"/>
    </row>
    <row r="239">
      <c r="E239" s="15"/>
      <c r="F239" s="17"/>
      <c r="G239" s="15"/>
      <c r="I239" s="15"/>
    </row>
    <row r="240">
      <c r="E240" s="15"/>
      <c r="F240" s="17"/>
      <c r="G240" s="15"/>
      <c r="I240" s="15"/>
    </row>
    <row r="241">
      <c r="E241" s="15"/>
      <c r="F241" s="17"/>
      <c r="G241" s="15"/>
      <c r="I241" s="15"/>
    </row>
    <row r="242">
      <c r="E242" s="15"/>
      <c r="F242" s="17"/>
      <c r="G242" s="15"/>
      <c r="I242" s="15"/>
    </row>
    <row r="243">
      <c r="E243" s="15"/>
      <c r="F243" s="17"/>
      <c r="G243" s="15"/>
      <c r="I243" s="15"/>
    </row>
    <row r="244">
      <c r="E244" s="15"/>
      <c r="F244" s="17"/>
      <c r="G244" s="15"/>
      <c r="I244" s="15"/>
    </row>
    <row r="245">
      <c r="E245" s="15"/>
      <c r="F245" s="17"/>
      <c r="G245" s="15"/>
      <c r="I245" s="15"/>
    </row>
    <row r="246">
      <c r="E246" s="15"/>
      <c r="F246" s="17"/>
      <c r="G246" s="15"/>
      <c r="I246" s="15"/>
    </row>
    <row r="247">
      <c r="E247" s="15"/>
      <c r="F247" s="17"/>
      <c r="G247" s="15"/>
      <c r="I247" s="15"/>
    </row>
    <row r="248">
      <c r="E248" s="15"/>
      <c r="F248" s="17"/>
      <c r="G248" s="15"/>
      <c r="I248" s="15"/>
    </row>
    <row r="249">
      <c r="E249" s="15"/>
      <c r="F249" s="17"/>
      <c r="G249" s="15"/>
      <c r="I249" s="15"/>
    </row>
    <row r="250">
      <c r="E250" s="15"/>
      <c r="F250" s="17"/>
      <c r="G250" s="15"/>
      <c r="I250" s="15"/>
    </row>
    <row r="251">
      <c r="E251" s="15"/>
      <c r="F251" s="17"/>
      <c r="G251" s="15"/>
      <c r="I251" s="15"/>
    </row>
    <row r="252">
      <c r="E252" s="15"/>
      <c r="F252" s="17"/>
      <c r="G252" s="15"/>
      <c r="I252" s="15"/>
    </row>
    <row r="253">
      <c r="E253" s="15"/>
      <c r="F253" s="17"/>
      <c r="G253" s="15"/>
      <c r="I253" s="15"/>
    </row>
    <row r="254">
      <c r="E254" s="15"/>
      <c r="F254" s="17"/>
      <c r="G254" s="15"/>
      <c r="I254" s="15"/>
    </row>
    <row r="255">
      <c r="E255" s="15"/>
      <c r="F255" s="17"/>
      <c r="G255" s="15"/>
      <c r="I255" s="15"/>
    </row>
    <row r="256">
      <c r="E256" s="15"/>
      <c r="F256" s="17"/>
      <c r="G256" s="15"/>
      <c r="I256" s="15"/>
    </row>
    <row r="257">
      <c r="E257" s="15"/>
      <c r="F257" s="17"/>
      <c r="G257" s="15"/>
      <c r="I257" s="15"/>
    </row>
    <row r="258">
      <c r="E258" s="15"/>
      <c r="F258" s="17"/>
      <c r="G258" s="15"/>
      <c r="I258" s="15"/>
    </row>
    <row r="259">
      <c r="E259" s="15"/>
      <c r="F259" s="17"/>
      <c r="G259" s="15"/>
      <c r="I259" s="15"/>
    </row>
    <row r="260">
      <c r="E260" s="15"/>
      <c r="F260" s="17"/>
      <c r="G260" s="15"/>
      <c r="I260" s="15"/>
    </row>
    <row r="261">
      <c r="E261" s="15"/>
      <c r="F261" s="17"/>
      <c r="G261" s="15"/>
      <c r="I261" s="15"/>
    </row>
    <row r="262">
      <c r="E262" s="15"/>
      <c r="F262" s="17"/>
      <c r="G262" s="15"/>
      <c r="I262" s="15"/>
    </row>
    <row r="263">
      <c r="E263" s="15"/>
      <c r="F263" s="17"/>
      <c r="G263" s="15"/>
      <c r="I263" s="15"/>
    </row>
    <row r="264">
      <c r="E264" s="15"/>
      <c r="F264" s="17"/>
      <c r="G264" s="15"/>
      <c r="I264" s="15"/>
    </row>
    <row r="265">
      <c r="E265" s="15"/>
      <c r="F265" s="17"/>
      <c r="G265" s="15"/>
      <c r="I265" s="15"/>
    </row>
    <row r="266">
      <c r="E266" s="15"/>
      <c r="F266" s="17"/>
      <c r="G266" s="15"/>
      <c r="I266" s="15"/>
    </row>
    <row r="267">
      <c r="E267" s="15"/>
      <c r="F267" s="17"/>
      <c r="G267" s="15"/>
      <c r="I267" s="15"/>
    </row>
    <row r="268">
      <c r="E268" s="15"/>
      <c r="F268" s="17"/>
      <c r="G268" s="15"/>
      <c r="I268" s="15"/>
    </row>
    <row r="269">
      <c r="E269" s="15"/>
      <c r="F269" s="17"/>
      <c r="G269" s="15"/>
      <c r="I269" s="15"/>
    </row>
    <row r="270">
      <c r="E270" s="15"/>
      <c r="F270" s="17"/>
      <c r="G270" s="15"/>
      <c r="I270" s="15"/>
    </row>
    <row r="271">
      <c r="E271" s="15"/>
      <c r="F271" s="17"/>
      <c r="G271" s="15"/>
      <c r="I271" s="15"/>
    </row>
    <row r="272">
      <c r="E272" s="15"/>
      <c r="F272" s="17"/>
      <c r="G272" s="15"/>
      <c r="I272" s="15"/>
    </row>
    <row r="273">
      <c r="E273" s="15"/>
      <c r="F273" s="17"/>
      <c r="G273" s="15"/>
      <c r="I273" s="15"/>
    </row>
    <row r="274">
      <c r="E274" s="15"/>
      <c r="F274" s="17"/>
      <c r="G274" s="15"/>
      <c r="I274" s="15"/>
    </row>
    <row r="275">
      <c r="E275" s="15"/>
      <c r="F275" s="17"/>
      <c r="G275" s="15"/>
      <c r="I275" s="15"/>
    </row>
    <row r="276">
      <c r="E276" s="15"/>
      <c r="F276" s="17"/>
      <c r="G276" s="15"/>
      <c r="I276" s="15"/>
    </row>
    <row r="277">
      <c r="E277" s="15"/>
      <c r="F277" s="17"/>
      <c r="G277" s="15"/>
      <c r="I277" s="15"/>
    </row>
    <row r="278">
      <c r="E278" s="15"/>
      <c r="F278" s="17"/>
      <c r="G278" s="15"/>
      <c r="I278" s="15"/>
    </row>
    <row r="279">
      <c r="E279" s="15"/>
      <c r="F279" s="17"/>
      <c r="G279" s="15"/>
      <c r="I279" s="15"/>
    </row>
    <row r="280">
      <c r="E280" s="15"/>
      <c r="F280" s="17"/>
      <c r="G280" s="15"/>
      <c r="I280" s="15"/>
    </row>
    <row r="281">
      <c r="E281" s="15"/>
      <c r="F281" s="17"/>
      <c r="G281" s="15"/>
      <c r="I281" s="15"/>
    </row>
    <row r="282">
      <c r="E282" s="15"/>
      <c r="F282" s="17"/>
      <c r="G282" s="15"/>
      <c r="I282" s="15"/>
    </row>
    <row r="283">
      <c r="E283" s="15"/>
      <c r="F283" s="17"/>
      <c r="G283" s="15"/>
      <c r="I283" s="15"/>
    </row>
    <row r="284">
      <c r="E284" s="15"/>
      <c r="F284" s="17"/>
      <c r="G284" s="15"/>
      <c r="I284" s="15"/>
    </row>
    <row r="285">
      <c r="E285" s="15"/>
      <c r="F285" s="17"/>
      <c r="G285" s="15"/>
      <c r="I285" s="15"/>
    </row>
    <row r="286">
      <c r="E286" s="15"/>
      <c r="F286" s="17"/>
      <c r="G286" s="15"/>
      <c r="I286" s="15"/>
    </row>
    <row r="287">
      <c r="E287" s="15"/>
      <c r="F287" s="17"/>
      <c r="G287" s="15"/>
      <c r="I287" s="15"/>
    </row>
    <row r="288">
      <c r="E288" s="15"/>
      <c r="F288" s="17"/>
      <c r="G288" s="15"/>
      <c r="I288" s="15"/>
    </row>
    <row r="289">
      <c r="E289" s="15"/>
      <c r="F289" s="17"/>
      <c r="G289" s="15"/>
      <c r="I289" s="15"/>
    </row>
    <row r="290">
      <c r="E290" s="15"/>
      <c r="F290" s="17"/>
      <c r="G290" s="15"/>
      <c r="I290" s="15"/>
    </row>
    <row r="291">
      <c r="E291" s="15"/>
      <c r="F291" s="17"/>
      <c r="G291" s="15"/>
      <c r="I291" s="15"/>
    </row>
    <row r="292">
      <c r="E292" s="15"/>
      <c r="F292" s="17"/>
      <c r="G292" s="15"/>
      <c r="I292" s="15"/>
    </row>
    <row r="293">
      <c r="E293" s="15"/>
      <c r="F293" s="17"/>
      <c r="G293" s="15"/>
      <c r="I293" s="15"/>
    </row>
    <row r="294">
      <c r="E294" s="15"/>
      <c r="F294" s="17"/>
      <c r="G294" s="15"/>
      <c r="I294" s="15"/>
    </row>
    <row r="295">
      <c r="E295" s="15"/>
      <c r="F295" s="17"/>
      <c r="G295" s="15"/>
      <c r="I295" s="15"/>
    </row>
    <row r="296">
      <c r="E296" s="15"/>
      <c r="F296" s="17"/>
      <c r="G296" s="15"/>
      <c r="I296" s="15"/>
    </row>
    <row r="297">
      <c r="E297" s="15"/>
      <c r="F297" s="17"/>
      <c r="G297" s="15"/>
      <c r="I297" s="15"/>
    </row>
    <row r="298">
      <c r="E298" s="15"/>
      <c r="F298" s="17"/>
      <c r="G298" s="15"/>
      <c r="I298" s="15"/>
    </row>
    <row r="299">
      <c r="E299" s="15"/>
      <c r="F299" s="17"/>
      <c r="G299" s="15"/>
      <c r="I299" s="15"/>
    </row>
    <row r="300">
      <c r="E300" s="15"/>
      <c r="F300" s="17"/>
      <c r="G300" s="15"/>
      <c r="I300" s="15"/>
    </row>
    <row r="301">
      <c r="E301" s="15"/>
      <c r="F301" s="17"/>
      <c r="G301" s="15"/>
      <c r="I301" s="15"/>
    </row>
    <row r="302">
      <c r="E302" s="15"/>
      <c r="F302" s="17"/>
      <c r="G302" s="15"/>
      <c r="I302" s="15"/>
    </row>
    <row r="303">
      <c r="E303" s="15"/>
      <c r="F303" s="17"/>
      <c r="G303" s="15"/>
      <c r="I303" s="15"/>
    </row>
    <row r="304">
      <c r="E304" s="15"/>
      <c r="F304" s="17"/>
      <c r="G304" s="15"/>
      <c r="I304" s="15"/>
    </row>
    <row r="305">
      <c r="E305" s="15"/>
      <c r="F305" s="17"/>
      <c r="G305" s="15"/>
      <c r="I305" s="15"/>
    </row>
    <row r="306">
      <c r="E306" s="15"/>
      <c r="F306" s="17"/>
      <c r="G306" s="15"/>
      <c r="I306" s="15"/>
    </row>
    <row r="307">
      <c r="E307" s="15"/>
      <c r="F307" s="17"/>
      <c r="G307" s="15"/>
      <c r="I307" s="15"/>
    </row>
    <row r="308">
      <c r="E308" s="15"/>
      <c r="F308" s="17"/>
      <c r="G308" s="15"/>
      <c r="I308" s="15"/>
    </row>
    <row r="309">
      <c r="E309" s="15"/>
      <c r="F309" s="17"/>
      <c r="G309" s="15"/>
      <c r="I309" s="15"/>
    </row>
    <row r="310">
      <c r="E310" s="15"/>
      <c r="F310" s="17"/>
      <c r="G310" s="15"/>
      <c r="I310" s="15"/>
    </row>
    <row r="311">
      <c r="E311" s="15"/>
      <c r="F311" s="17"/>
      <c r="G311" s="15"/>
      <c r="I311" s="15"/>
    </row>
    <row r="312">
      <c r="E312" s="15"/>
      <c r="F312" s="17"/>
      <c r="G312" s="15"/>
      <c r="I312" s="15"/>
    </row>
    <row r="313">
      <c r="E313" s="15"/>
      <c r="F313" s="17"/>
      <c r="G313" s="15"/>
      <c r="I313" s="15"/>
    </row>
    <row r="314">
      <c r="E314" s="15"/>
      <c r="F314" s="17"/>
      <c r="G314" s="15"/>
      <c r="I314" s="15"/>
    </row>
    <row r="315">
      <c r="E315" s="15"/>
      <c r="F315" s="17"/>
      <c r="G315" s="15"/>
      <c r="I315" s="15"/>
    </row>
    <row r="316">
      <c r="E316" s="15"/>
      <c r="F316" s="17"/>
      <c r="G316" s="15"/>
      <c r="I316" s="15"/>
    </row>
    <row r="317">
      <c r="E317" s="15"/>
      <c r="F317" s="17"/>
      <c r="G317" s="15"/>
      <c r="I317" s="15"/>
    </row>
    <row r="318">
      <c r="E318" s="15"/>
      <c r="F318" s="17"/>
      <c r="G318" s="15"/>
      <c r="I318" s="15"/>
    </row>
    <row r="319">
      <c r="E319" s="15"/>
      <c r="F319" s="17"/>
      <c r="G319" s="15"/>
      <c r="I319" s="15"/>
    </row>
    <row r="320">
      <c r="E320" s="15"/>
      <c r="F320" s="17"/>
      <c r="G320" s="15"/>
      <c r="I320" s="15"/>
    </row>
    <row r="321">
      <c r="E321" s="15"/>
      <c r="F321" s="17"/>
      <c r="G321" s="15"/>
      <c r="I321" s="15"/>
    </row>
    <row r="322">
      <c r="E322" s="15"/>
      <c r="F322" s="17"/>
      <c r="G322" s="15"/>
      <c r="I322" s="15"/>
    </row>
    <row r="323">
      <c r="E323" s="15"/>
      <c r="F323" s="17"/>
      <c r="G323" s="15"/>
      <c r="I323" s="15"/>
    </row>
    <row r="324">
      <c r="E324" s="15"/>
      <c r="F324" s="17"/>
      <c r="G324" s="15"/>
      <c r="I324" s="15"/>
    </row>
    <row r="325">
      <c r="E325" s="15"/>
      <c r="F325" s="17"/>
      <c r="G325" s="15"/>
      <c r="I325" s="15"/>
    </row>
    <row r="326">
      <c r="E326" s="15"/>
      <c r="F326" s="17"/>
      <c r="G326" s="15"/>
      <c r="I326" s="15"/>
    </row>
    <row r="327">
      <c r="E327" s="15"/>
      <c r="F327" s="17"/>
      <c r="G327" s="15"/>
      <c r="I327" s="15"/>
    </row>
    <row r="328">
      <c r="E328" s="15"/>
      <c r="F328" s="17"/>
      <c r="G328" s="15"/>
      <c r="I328" s="15"/>
    </row>
    <row r="329">
      <c r="E329" s="15"/>
      <c r="F329" s="17"/>
      <c r="G329" s="15"/>
      <c r="I329" s="15"/>
    </row>
    <row r="330">
      <c r="E330" s="15"/>
      <c r="F330" s="17"/>
      <c r="G330" s="15"/>
      <c r="I330" s="15"/>
    </row>
    <row r="331">
      <c r="E331" s="15"/>
      <c r="F331" s="17"/>
      <c r="G331" s="15"/>
      <c r="I331" s="15"/>
    </row>
    <row r="332">
      <c r="E332" s="15"/>
      <c r="F332" s="17"/>
      <c r="G332" s="15"/>
      <c r="I332" s="15"/>
    </row>
    <row r="333">
      <c r="E333" s="15"/>
      <c r="F333" s="17"/>
      <c r="G333" s="15"/>
      <c r="I333" s="15"/>
    </row>
    <row r="334">
      <c r="E334" s="15"/>
      <c r="F334" s="17"/>
      <c r="G334" s="15"/>
      <c r="I334" s="15"/>
    </row>
    <row r="335">
      <c r="E335" s="15"/>
      <c r="F335" s="17"/>
      <c r="G335" s="15"/>
      <c r="I335" s="15"/>
    </row>
    <row r="336">
      <c r="E336" s="15"/>
      <c r="F336" s="17"/>
      <c r="G336" s="15"/>
      <c r="I336" s="15"/>
    </row>
    <row r="337">
      <c r="E337" s="15"/>
      <c r="F337" s="17"/>
      <c r="G337" s="15"/>
      <c r="I337" s="15"/>
    </row>
    <row r="338">
      <c r="E338" s="15"/>
      <c r="F338" s="17"/>
      <c r="G338" s="15"/>
      <c r="I338" s="15"/>
    </row>
    <row r="339">
      <c r="E339" s="15"/>
      <c r="F339" s="17"/>
      <c r="G339" s="15"/>
      <c r="I339" s="15"/>
    </row>
    <row r="340">
      <c r="E340" s="15"/>
      <c r="F340" s="17"/>
      <c r="G340" s="15"/>
      <c r="I340" s="15"/>
    </row>
    <row r="341">
      <c r="E341" s="15"/>
      <c r="F341" s="17"/>
      <c r="G341" s="15"/>
      <c r="I341" s="15"/>
    </row>
    <row r="342">
      <c r="E342" s="15"/>
      <c r="F342" s="17"/>
      <c r="G342" s="15"/>
      <c r="I342" s="15"/>
    </row>
    <row r="343">
      <c r="E343" s="15"/>
      <c r="F343" s="17"/>
      <c r="G343" s="15"/>
      <c r="I343" s="15"/>
    </row>
    <row r="344">
      <c r="E344" s="15"/>
      <c r="F344" s="17"/>
      <c r="G344" s="15"/>
      <c r="I344" s="15"/>
    </row>
    <row r="345">
      <c r="E345" s="15"/>
      <c r="F345" s="17"/>
      <c r="G345" s="15"/>
      <c r="I345" s="15"/>
    </row>
    <row r="346">
      <c r="E346" s="15"/>
      <c r="F346" s="17"/>
      <c r="G346" s="15"/>
      <c r="I346" s="15"/>
    </row>
    <row r="347">
      <c r="E347" s="15"/>
      <c r="F347" s="17"/>
      <c r="G347" s="15"/>
      <c r="I347" s="15"/>
    </row>
    <row r="348">
      <c r="E348" s="15"/>
      <c r="F348" s="17"/>
      <c r="G348" s="15"/>
      <c r="I348" s="15"/>
    </row>
    <row r="349">
      <c r="E349" s="15"/>
      <c r="F349" s="17"/>
      <c r="G349" s="15"/>
      <c r="I349" s="15"/>
    </row>
    <row r="350">
      <c r="E350" s="15"/>
      <c r="F350" s="17"/>
      <c r="G350" s="15"/>
      <c r="I350" s="15"/>
    </row>
    <row r="351">
      <c r="E351" s="15"/>
      <c r="F351" s="17"/>
      <c r="G351" s="15"/>
      <c r="I351" s="15"/>
    </row>
    <row r="352">
      <c r="E352" s="15"/>
      <c r="F352" s="17"/>
      <c r="G352" s="15"/>
      <c r="I352" s="15"/>
    </row>
    <row r="353">
      <c r="E353" s="15"/>
      <c r="F353" s="17"/>
      <c r="G353" s="15"/>
      <c r="I353" s="15"/>
    </row>
    <row r="354">
      <c r="E354" s="15"/>
      <c r="F354" s="17"/>
      <c r="G354" s="15"/>
      <c r="I354" s="15"/>
    </row>
    <row r="355">
      <c r="E355" s="15"/>
      <c r="F355" s="17"/>
      <c r="G355" s="15"/>
      <c r="I355" s="15"/>
    </row>
    <row r="356">
      <c r="E356" s="15"/>
      <c r="F356" s="17"/>
      <c r="G356" s="15"/>
      <c r="I356" s="15"/>
    </row>
    <row r="357">
      <c r="E357" s="15"/>
      <c r="F357" s="17"/>
      <c r="G357" s="15"/>
      <c r="I357" s="15"/>
    </row>
    <row r="358">
      <c r="E358" s="15"/>
      <c r="F358" s="17"/>
      <c r="G358" s="15"/>
      <c r="I358" s="15"/>
    </row>
    <row r="359">
      <c r="E359" s="15"/>
      <c r="F359" s="17"/>
      <c r="G359" s="15"/>
      <c r="I359" s="15"/>
    </row>
    <row r="360">
      <c r="E360" s="15"/>
      <c r="F360" s="17"/>
      <c r="G360" s="15"/>
      <c r="I360" s="15"/>
    </row>
    <row r="361">
      <c r="E361" s="15"/>
      <c r="F361" s="17"/>
      <c r="G361" s="15"/>
      <c r="I361" s="15"/>
    </row>
    <row r="362">
      <c r="E362" s="15"/>
      <c r="F362" s="17"/>
      <c r="G362" s="15"/>
      <c r="I362" s="15"/>
    </row>
    <row r="363">
      <c r="E363" s="15"/>
      <c r="F363" s="17"/>
      <c r="G363" s="15"/>
      <c r="I363" s="15"/>
    </row>
    <row r="364">
      <c r="E364" s="15"/>
      <c r="F364" s="17"/>
      <c r="G364" s="15"/>
      <c r="I364" s="15"/>
    </row>
    <row r="365">
      <c r="E365" s="15"/>
      <c r="F365" s="17"/>
      <c r="G365" s="15"/>
      <c r="I365" s="15"/>
    </row>
    <row r="366">
      <c r="E366" s="15"/>
      <c r="F366" s="17"/>
      <c r="G366" s="15"/>
      <c r="I366" s="15"/>
    </row>
    <row r="367">
      <c r="E367" s="15"/>
      <c r="F367" s="17"/>
      <c r="G367" s="15"/>
      <c r="I367" s="15"/>
    </row>
    <row r="368">
      <c r="E368" s="15"/>
      <c r="F368" s="17"/>
      <c r="G368" s="15"/>
      <c r="I368" s="15"/>
    </row>
    <row r="369">
      <c r="E369" s="15"/>
      <c r="F369" s="17"/>
      <c r="G369" s="15"/>
      <c r="I369" s="15"/>
    </row>
    <row r="370">
      <c r="E370" s="15"/>
      <c r="F370" s="17"/>
      <c r="G370" s="15"/>
      <c r="I370" s="15"/>
    </row>
    <row r="371">
      <c r="E371" s="15"/>
      <c r="F371" s="17"/>
      <c r="G371" s="15"/>
      <c r="I371" s="15"/>
    </row>
    <row r="372">
      <c r="E372" s="15"/>
      <c r="F372" s="17"/>
      <c r="G372" s="15"/>
      <c r="I372" s="15"/>
    </row>
    <row r="373">
      <c r="E373" s="15"/>
      <c r="F373" s="17"/>
      <c r="G373" s="15"/>
      <c r="I373" s="15"/>
    </row>
    <row r="374">
      <c r="E374" s="15"/>
      <c r="F374" s="17"/>
      <c r="G374" s="15"/>
      <c r="I374" s="15"/>
    </row>
    <row r="375">
      <c r="E375" s="15"/>
      <c r="F375" s="17"/>
      <c r="G375" s="15"/>
      <c r="I375" s="15"/>
    </row>
    <row r="376">
      <c r="E376" s="15"/>
      <c r="F376" s="17"/>
      <c r="G376" s="15"/>
      <c r="I376" s="15"/>
    </row>
    <row r="377">
      <c r="E377" s="15"/>
      <c r="F377" s="17"/>
      <c r="G377" s="15"/>
      <c r="I377" s="15"/>
    </row>
    <row r="378">
      <c r="E378" s="15"/>
      <c r="F378" s="17"/>
      <c r="G378" s="15"/>
      <c r="I378" s="15"/>
    </row>
    <row r="379">
      <c r="E379" s="15"/>
      <c r="F379" s="17"/>
      <c r="G379" s="15"/>
      <c r="I379" s="15"/>
    </row>
    <row r="380">
      <c r="E380" s="15"/>
      <c r="F380" s="17"/>
      <c r="G380" s="15"/>
      <c r="I380" s="15"/>
    </row>
    <row r="381">
      <c r="E381" s="15"/>
      <c r="F381" s="17"/>
      <c r="G381" s="15"/>
      <c r="I381" s="15"/>
    </row>
    <row r="382">
      <c r="E382" s="15"/>
      <c r="F382" s="17"/>
      <c r="G382" s="15"/>
      <c r="I382" s="15"/>
    </row>
    <row r="383">
      <c r="E383" s="15"/>
      <c r="F383" s="17"/>
      <c r="G383" s="15"/>
      <c r="I383" s="15"/>
    </row>
    <row r="384">
      <c r="E384" s="15"/>
      <c r="F384" s="17"/>
      <c r="G384" s="15"/>
      <c r="I384" s="15"/>
    </row>
    <row r="385">
      <c r="E385" s="15"/>
      <c r="F385" s="17"/>
      <c r="G385" s="15"/>
      <c r="I385" s="15"/>
    </row>
    <row r="386">
      <c r="E386" s="15"/>
      <c r="F386" s="17"/>
      <c r="G386" s="15"/>
      <c r="I386" s="15"/>
    </row>
    <row r="387">
      <c r="E387" s="15"/>
      <c r="F387" s="17"/>
      <c r="G387" s="15"/>
      <c r="I387" s="15"/>
    </row>
    <row r="388">
      <c r="E388" s="15"/>
      <c r="F388" s="17"/>
      <c r="G388" s="15"/>
      <c r="I388" s="15"/>
    </row>
    <row r="389">
      <c r="E389" s="15"/>
      <c r="F389" s="17"/>
      <c r="G389" s="15"/>
      <c r="I389" s="15"/>
    </row>
    <row r="390">
      <c r="E390" s="15"/>
      <c r="F390" s="17"/>
      <c r="G390" s="15"/>
      <c r="I390" s="15"/>
    </row>
    <row r="391">
      <c r="E391" s="15"/>
      <c r="F391" s="17"/>
      <c r="G391" s="15"/>
      <c r="I391" s="15"/>
    </row>
    <row r="392">
      <c r="E392" s="15"/>
      <c r="F392" s="17"/>
      <c r="G392" s="15"/>
      <c r="I392" s="15"/>
    </row>
    <row r="393">
      <c r="E393" s="15"/>
      <c r="F393" s="17"/>
      <c r="G393" s="15"/>
      <c r="I393" s="15"/>
    </row>
    <row r="394">
      <c r="E394" s="15"/>
      <c r="F394" s="17"/>
      <c r="G394" s="15"/>
      <c r="I394" s="15"/>
    </row>
    <row r="395">
      <c r="E395" s="15"/>
      <c r="F395" s="17"/>
      <c r="G395" s="15"/>
      <c r="I395" s="15"/>
    </row>
    <row r="396">
      <c r="E396" s="15"/>
      <c r="F396" s="17"/>
      <c r="G396" s="15"/>
      <c r="I396" s="15"/>
    </row>
    <row r="397">
      <c r="E397" s="15"/>
      <c r="F397" s="17"/>
      <c r="G397" s="15"/>
      <c r="I397" s="15"/>
    </row>
    <row r="398">
      <c r="E398" s="15"/>
      <c r="F398" s="17"/>
      <c r="G398" s="15"/>
      <c r="I398" s="15"/>
    </row>
    <row r="399">
      <c r="E399" s="15"/>
      <c r="F399" s="17"/>
      <c r="G399" s="15"/>
      <c r="I399" s="15"/>
    </row>
    <row r="400">
      <c r="E400" s="15"/>
      <c r="F400" s="17"/>
      <c r="G400" s="15"/>
      <c r="I400" s="15"/>
    </row>
    <row r="401">
      <c r="E401" s="15"/>
      <c r="F401" s="17"/>
      <c r="G401" s="15"/>
      <c r="I401" s="15"/>
    </row>
    <row r="402">
      <c r="E402" s="15"/>
      <c r="F402" s="17"/>
      <c r="G402" s="15"/>
      <c r="I402" s="15"/>
    </row>
    <row r="403">
      <c r="E403" s="15"/>
      <c r="F403" s="17"/>
      <c r="G403" s="15"/>
      <c r="I403" s="15"/>
    </row>
    <row r="404">
      <c r="E404" s="15"/>
      <c r="F404" s="17"/>
      <c r="G404" s="15"/>
      <c r="I404" s="15"/>
    </row>
    <row r="405">
      <c r="E405" s="15"/>
      <c r="F405" s="17"/>
      <c r="G405" s="15"/>
      <c r="I405" s="15"/>
    </row>
    <row r="406">
      <c r="E406" s="15"/>
      <c r="F406" s="17"/>
      <c r="G406" s="15"/>
      <c r="I406" s="15"/>
    </row>
    <row r="407">
      <c r="E407" s="15"/>
      <c r="F407" s="17"/>
      <c r="G407" s="15"/>
      <c r="I407" s="15"/>
    </row>
    <row r="408">
      <c r="E408" s="15"/>
      <c r="F408" s="17"/>
      <c r="G408" s="15"/>
      <c r="I408" s="15"/>
    </row>
    <row r="409">
      <c r="E409" s="15"/>
      <c r="F409" s="17"/>
      <c r="G409" s="15"/>
      <c r="I409" s="15"/>
    </row>
    <row r="410">
      <c r="E410" s="15"/>
      <c r="F410" s="17"/>
      <c r="G410" s="15"/>
      <c r="I410" s="15"/>
    </row>
    <row r="411">
      <c r="E411" s="15"/>
      <c r="F411" s="17"/>
      <c r="G411" s="15"/>
      <c r="I411" s="15"/>
    </row>
    <row r="412">
      <c r="E412" s="15"/>
      <c r="F412" s="17"/>
      <c r="G412" s="15"/>
      <c r="I412" s="15"/>
    </row>
    <row r="413">
      <c r="E413" s="15"/>
      <c r="F413" s="17"/>
      <c r="G413" s="15"/>
      <c r="I413" s="15"/>
    </row>
    <row r="414">
      <c r="E414" s="15"/>
      <c r="F414" s="17"/>
      <c r="G414" s="15"/>
      <c r="I414" s="15"/>
    </row>
    <row r="415">
      <c r="E415" s="15"/>
      <c r="F415" s="17"/>
      <c r="G415" s="15"/>
      <c r="I415" s="15"/>
    </row>
    <row r="416">
      <c r="E416" s="15"/>
      <c r="F416" s="17"/>
      <c r="G416" s="15"/>
      <c r="I416" s="15"/>
    </row>
    <row r="417">
      <c r="E417" s="15"/>
      <c r="F417" s="17"/>
      <c r="G417" s="15"/>
      <c r="I417" s="15"/>
    </row>
    <row r="418">
      <c r="E418" s="15"/>
      <c r="F418" s="17"/>
      <c r="G418" s="15"/>
      <c r="I418" s="15"/>
    </row>
    <row r="419">
      <c r="E419" s="15"/>
      <c r="F419" s="17"/>
      <c r="G419" s="15"/>
      <c r="I419" s="15"/>
    </row>
    <row r="420">
      <c r="E420" s="15"/>
      <c r="F420" s="17"/>
      <c r="G420" s="15"/>
      <c r="I420" s="15"/>
    </row>
    <row r="421">
      <c r="E421" s="15"/>
      <c r="F421" s="17"/>
      <c r="G421" s="15"/>
      <c r="I421" s="15"/>
    </row>
    <row r="422">
      <c r="E422" s="15"/>
      <c r="F422" s="17"/>
      <c r="G422" s="15"/>
      <c r="I422" s="15"/>
    </row>
    <row r="423">
      <c r="E423" s="15"/>
      <c r="F423" s="17"/>
      <c r="G423" s="15"/>
      <c r="I423" s="15"/>
    </row>
    <row r="424">
      <c r="E424" s="15"/>
      <c r="F424" s="17"/>
      <c r="G424" s="15"/>
      <c r="I424" s="15"/>
    </row>
    <row r="425">
      <c r="E425" s="15"/>
      <c r="F425" s="17"/>
      <c r="G425" s="15"/>
      <c r="I425" s="15"/>
    </row>
    <row r="426">
      <c r="E426" s="15"/>
      <c r="F426" s="17"/>
      <c r="G426" s="15"/>
      <c r="I426" s="15"/>
    </row>
    <row r="427">
      <c r="E427" s="15"/>
      <c r="F427" s="17"/>
      <c r="G427" s="15"/>
      <c r="I427" s="15"/>
    </row>
    <row r="428">
      <c r="E428" s="15"/>
      <c r="F428" s="17"/>
      <c r="G428" s="15"/>
      <c r="I428" s="15"/>
    </row>
    <row r="429">
      <c r="E429" s="15"/>
      <c r="F429" s="17"/>
      <c r="G429" s="15"/>
      <c r="I429" s="15"/>
    </row>
    <row r="430">
      <c r="E430" s="15"/>
      <c r="F430" s="17"/>
      <c r="G430" s="15"/>
      <c r="I430" s="15"/>
    </row>
    <row r="431">
      <c r="E431" s="15"/>
      <c r="F431" s="17"/>
      <c r="G431" s="15"/>
      <c r="I431" s="15"/>
    </row>
    <row r="432">
      <c r="E432" s="15"/>
      <c r="F432" s="17"/>
      <c r="G432" s="15"/>
      <c r="I432" s="15"/>
    </row>
    <row r="433">
      <c r="E433" s="15"/>
      <c r="F433" s="17"/>
      <c r="G433" s="15"/>
      <c r="I433" s="15"/>
    </row>
    <row r="434">
      <c r="E434" s="15"/>
      <c r="F434" s="17"/>
      <c r="G434" s="15"/>
      <c r="I434" s="15"/>
    </row>
    <row r="435">
      <c r="E435" s="15"/>
      <c r="F435" s="17"/>
      <c r="G435" s="15"/>
      <c r="I435" s="15"/>
    </row>
    <row r="436">
      <c r="E436" s="15"/>
      <c r="F436" s="17"/>
      <c r="G436" s="15"/>
      <c r="I436" s="15"/>
    </row>
    <row r="437">
      <c r="E437" s="15"/>
      <c r="F437" s="17"/>
      <c r="G437" s="15"/>
      <c r="I437" s="15"/>
    </row>
    <row r="438">
      <c r="E438" s="15"/>
      <c r="F438" s="17"/>
      <c r="G438" s="15"/>
      <c r="I438" s="15"/>
    </row>
    <row r="439">
      <c r="E439" s="15"/>
      <c r="F439" s="17"/>
      <c r="G439" s="15"/>
      <c r="I439" s="15"/>
    </row>
    <row r="440">
      <c r="E440" s="15"/>
      <c r="F440" s="17"/>
      <c r="G440" s="15"/>
      <c r="I440" s="15"/>
    </row>
    <row r="441">
      <c r="E441" s="15"/>
      <c r="F441" s="17"/>
      <c r="G441" s="15"/>
      <c r="I441" s="15"/>
    </row>
    <row r="442">
      <c r="E442" s="15"/>
      <c r="F442" s="17"/>
      <c r="G442" s="15"/>
      <c r="I442" s="15"/>
    </row>
    <row r="443">
      <c r="E443" s="15"/>
      <c r="F443" s="17"/>
      <c r="G443" s="15"/>
      <c r="I443" s="15"/>
    </row>
    <row r="444">
      <c r="E444" s="15"/>
      <c r="F444" s="17"/>
      <c r="G444" s="15"/>
      <c r="I444" s="15"/>
    </row>
    <row r="445">
      <c r="E445" s="15"/>
      <c r="F445" s="17"/>
      <c r="G445" s="15"/>
      <c r="I445" s="15"/>
    </row>
    <row r="446">
      <c r="E446" s="15"/>
      <c r="F446" s="17"/>
      <c r="G446" s="15"/>
      <c r="I446" s="15"/>
    </row>
    <row r="447">
      <c r="E447" s="15"/>
      <c r="F447" s="17"/>
      <c r="G447" s="15"/>
      <c r="I447" s="15"/>
    </row>
    <row r="448">
      <c r="E448" s="15"/>
      <c r="F448" s="17"/>
      <c r="G448" s="15"/>
      <c r="I448" s="15"/>
    </row>
    <row r="449">
      <c r="E449" s="15"/>
      <c r="F449" s="17"/>
      <c r="G449" s="15"/>
      <c r="I449" s="15"/>
    </row>
    <row r="450">
      <c r="E450" s="15"/>
      <c r="F450" s="17"/>
      <c r="G450" s="15"/>
      <c r="I450" s="15"/>
    </row>
    <row r="451">
      <c r="E451" s="15"/>
      <c r="F451" s="17"/>
      <c r="G451" s="15"/>
      <c r="I451" s="15"/>
    </row>
    <row r="452">
      <c r="E452" s="15"/>
      <c r="F452" s="17"/>
      <c r="G452" s="15"/>
      <c r="I452" s="15"/>
    </row>
    <row r="453">
      <c r="E453" s="15"/>
      <c r="F453" s="17"/>
      <c r="G453" s="15"/>
      <c r="I453" s="15"/>
    </row>
    <row r="454">
      <c r="E454" s="15"/>
      <c r="F454" s="17"/>
      <c r="G454" s="15"/>
      <c r="I454" s="15"/>
    </row>
    <row r="455">
      <c r="E455" s="15"/>
      <c r="F455" s="17"/>
      <c r="G455" s="15"/>
      <c r="I455" s="15"/>
    </row>
    <row r="456">
      <c r="E456" s="15"/>
      <c r="F456" s="17"/>
      <c r="G456" s="15"/>
      <c r="I456" s="15"/>
    </row>
    <row r="457">
      <c r="E457" s="15"/>
      <c r="F457" s="17"/>
      <c r="G457" s="15"/>
      <c r="I457" s="15"/>
    </row>
    <row r="458">
      <c r="E458" s="15"/>
      <c r="F458" s="17"/>
      <c r="G458" s="15"/>
      <c r="I458" s="15"/>
    </row>
    <row r="459">
      <c r="E459" s="15"/>
      <c r="F459" s="17"/>
      <c r="G459" s="15"/>
      <c r="I459" s="15"/>
    </row>
    <row r="460">
      <c r="E460" s="15"/>
      <c r="F460" s="17"/>
      <c r="G460" s="15"/>
      <c r="I460" s="15"/>
    </row>
    <row r="461">
      <c r="E461" s="15"/>
      <c r="F461" s="17"/>
      <c r="G461" s="15"/>
      <c r="I461" s="15"/>
    </row>
    <row r="462">
      <c r="E462" s="15"/>
      <c r="F462" s="17"/>
      <c r="G462" s="15"/>
      <c r="I462" s="15"/>
    </row>
    <row r="463">
      <c r="E463" s="15"/>
      <c r="F463" s="17"/>
      <c r="G463" s="15"/>
      <c r="I463" s="15"/>
    </row>
    <row r="464">
      <c r="E464" s="15"/>
      <c r="F464" s="17"/>
      <c r="G464" s="15"/>
      <c r="I464" s="15"/>
    </row>
    <row r="465">
      <c r="E465" s="15"/>
      <c r="F465" s="17"/>
      <c r="G465" s="15"/>
      <c r="I465" s="15"/>
    </row>
    <row r="466">
      <c r="E466" s="15"/>
      <c r="F466" s="17"/>
      <c r="G466" s="15"/>
      <c r="I466" s="15"/>
    </row>
    <row r="467">
      <c r="E467" s="15"/>
      <c r="F467" s="17"/>
      <c r="G467" s="15"/>
      <c r="I467" s="15"/>
    </row>
    <row r="468">
      <c r="E468" s="15"/>
      <c r="F468" s="17"/>
      <c r="G468" s="15"/>
      <c r="I468" s="15"/>
    </row>
    <row r="469">
      <c r="E469" s="15"/>
      <c r="F469" s="17"/>
      <c r="G469" s="15"/>
      <c r="I469" s="15"/>
    </row>
    <row r="470">
      <c r="E470" s="15"/>
      <c r="F470" s="17"/>
      <c r="G470" s="15"/>
      <c r="I470" s="15"/>
    </row>
    <row r="471">
      <c r="E471" s="15"/>
      <c r="F471" s="17"/>
      <c r="G471" s="15"/>
      <c r="I471" s="15"/>
    </row>
    <row r="472">
      <c r="E472" s="15"/>
      <c r="F472" s="17"/>
      <c r="G472" s="15"/>
      <c r="I472" s="15"/>
    </row>
    <row r="473">
      <c r="E473" s="15"/>
      <c r="F473" s="17"/>
      <c r="G473" s="15"/>
      <c r="I473" s="15"/>
    </row>
    <row r="474">
      <c r="E474" s="15"/>
      <c r="F474" s="17"/>
      <c r="G474" s="15"/>
      <c r="I474" s="15"/>
    </row>
    <row r="475">
      <c r="E475" s="15"/>
      <c r="F475" s="17"/>
      <c r="G475" s="15"/>
      <c r="I475" s="15"/>
    </row>
    <row r="476">
      <c r="E476" s="15"/>
      <c r="F476" s="17"/>
      <c r="G476" s="15"/>
      <c r="I476" s="15"/>
    </row>
    <row r="477">
      <c r="E477" s="15"/>
      <c r="F477" s="17"/>
      <c r="G477" s="15"/>
      <c r="I477" s="15"/>
    </row>
    <row r="478">
      <c r="E478" s="15"/>
      <c r="F478" s="17"/>
      <c r="G478" s="15"/>
      <c r="I478" s="15"/>
    </row>
    <row r="479">
      <c r="E479" s="15"/>
      <c r="F479" s="17"/>
      <c r="G479" s="15"/>
      <c r="I479" s="15"/>
    </row>
    <row r="480">
      <c r="E480" s="15"/>
      <c r="F480" s="17"/>
      <c r="G480" s="15"/>
      <c r="I480" s="15"/>
    </row>
    <row r="481">
      <c r="E481" s="15"/>
      <c r="F481" s="17"/>
      <c r="G481" s="15"/>
      <c r="I481" s="15"/>
    </row>
    <row r="482">
      <c r="E482" s="15"/>
      <c r="F482" s="17"/>
      <c r="G482" s="15"/>
      <c r="I482" s="15"/>
    </row>
    <row r="483">
      <c r="E483" s="15"/>
      <c r="F483" s="17"/>
      <c r="G483" s="15"/>
      <c r="I483" s="15"/>
    </row>
    <row r="484">
      <c r="E484" s="15"/>
      <c r="F484" s="17"/>
      <c r="G484" s="15"/>
      <c r="I484" s="15"/>
    </row>
    <row r="485">
      <c r="E485" s="15"/>
      <c r="F485" s="17"/>
      <c r="G485" s="15"/>
      <c r="I485" s="15"/>
    </row>
    <row r="486">
      <c r="E486" s="15"/>
      <c r="F486" s="17"/>
      <c r="G486" s="15"/>
      <c r="I486" s="15"/>
    </row>
    <row r="487">
      <c r="E487" s="15"/>
      <c r="F487" s="17"/>
      <c r="G487" s="15"/>
      <c r="I487" s="15"/>
    </row>
    <row r="488">
      <c r="E488" s="15"/>
      <c r="F488" s="17"/>
      <c r="G488" s="15"/>
      <c r="I488" s="15"/>
    </row>
    <row r="489">
      <c r="E489" s="15"/>
      <c r="F489" s="17"/>
      <c r="G489" s="15"/>
      <c r="I489" s="15"/>
    </row>
    <row r="490">
      <c r="E490" s="15"/>
      <c r="F490" s="17"/>
      <c r="G490" s="15"/>
      <c r="I490" s="15"/>
    </row>
    <row r="491">
      <c r="E491" s="15"/>
      <c r="F491" s="17"/>
      <c r="G491" s="15"/>
      <c r="I491" s="15"/>
    </row>
    <row r="492">
      <c r="E492" s="15"/>
      <c r="F492" s="17"/>
      <c r="G492" s="15"/>
      <c r="I492" s="15"/>
    </row>
    <row r="493">
      <c r="E493" s="15"/>
      <c r="F493" s="17"/>
      <c r="G493" s="15"/>
      <c r="I493" s="15"/>
    </row>
    <row r="494">
      <c r="E494" s="15"/>
      <c r="F494" s="17"/>
      <c r="G494" s="15"/>
      <c r="I494" s="15"/>
    </row>
    <row r="495">
      <c r="E495" s="15"/>
      <c r="F495" s="17"/>
      <c r="G495" s="15"/>
      <c r="I495" s="15"/>
    </row>
    <row r="496">
      <c r="E496" s="15"/>
      <c r="F496" s="17"/>
      <c r="G496" s="15"/>
      <c r="I496" s="15"/>
    </row>
    <row r="497">
      <c r="E497" s="15"/>
      <c r="F497" s="17"/>
      <c r="G497" s="15"/>
      <c r="I497" s="15"/>
    </row>
    <row r="498">
      <c r="E498" s="15"/>
      <c r="F498" s="17"/>
      <c r="G498" s="15"/>
      <c r="I498" s="15"/>
    </row>
    <row r="499">
      <c r="E499" s="15"/>
      <c r="F499" s="17"/>
      <c r="G499" s="15"/>
      <c r="I499" s="15"/>
    </row>
    <row r="500">
      <c r="E500" s="15"/>
      <c r="F500" s="17"/>
      <c r="G500" s="15"/>
      <c r="I500" s="15"/>
    </row>
    <row r="501">
      <c r="E501" s="15"/>
      <c r="F501" s="17"/>
      <c r="G501" s="15"/>
      <c r="I501" s="15"/>
    </row>
    <row r="502">
      <c r="E502" s="15"/>
      <c r="F502" s="17"/>
      <c r="G502" s="15"/>
      <c r="I502" s="15"/>
    </row>
    <row r="503">
      <c r="E503" s="15"/>
      <c r="F503" s="17"/>
      <c r="G503" s="15"/>
      <c r="I503" s="15"/>
    </row>
    <row r="504">
      <c r="E504" s="15"/>
      <c r="F504" s="17"/>
      <c r="G504" s="15"/>
      <c r="I504" s="15"/>
    </row>
    <row r="505">
      <c r="E505" s="15"/>
      <c r="F505" s="17"/>
      <c r="G505" s="15"/>
      <c r="I505" s="15"/>
    </row>
    <row r="506">
      <c r="E506" s="15"/>
      <c r="F506" s="17"/>
      <c r="G506" s="15"/>
      <c r="I506" s="15"/>
    </row>
    <row r="507">
      <c r="E507" s="15"/>
      <c r="F507" s="17"/>
      <c r="G507" s="15"/>
      <c r="I507" s="15"/>
    </row>
    <row r="508">
      <c r="E508" s="15"/>
      <c r="F508" s="17"/>
      <c r="G508" s="15"/>
      <c r="I508" s="15"/>
    </row>
    <row r="509">
      <c r="E509" s="15"/>
      <c r="F509" s="17"/>
      <c r="G509" s="15"/>
      <c r="I509" s="15"/>
    </row>
    <row r="510">
      <c r="E510" s="15"/>
      <c r="F510" s="17"/>
      <c r="G510" s="15"/>
      <c r="I510" s="15"/>
    </row>
    <row r="511">
      <c r="E511" s="15"/>
      <c r="F511" s="17"/>
      <c r="G511" s="15"/>
      <c r="I511" s="15"/>
    </row>
    <row r="512">
      <c r="E512" s="15"/>
      <c r="F512" s="17"/>
      <c r="G512" s="15"/>
      <c r="I512" s="15"/>
    </row>
    <row r="513">
      <c r="E513" s="15"/>
      <c r="F513" s="17"/>
      <c r="G513" s="15"/>
      <c r="I513" s="15"/>
    </row>
    <row r="514">
      <c r="E514" s="15"/>
      <c r="F514" s="17"/>
      <c r="G514" s="15"/>
      <c r="I514" s="15"/>
    </row>
    <row r="515">
      <c r="E515" s="15"/>
      <c r="F515" s="17"/>
      <c r="G515" s="15"/>
      <c r="I515" s="15"/>
    </row>
    <row r="516">
      <c r="E516" s="15"/>
      <c r="F516" s="17"/>
      <c r="G516" s="15"/>
      <c r="I516" s="15"/>
    </row>
    <row r="517">
      <c r="E517" s="15"/>
      <c r="F517" s="17"/>
      <c r="G517" s="15"/>
      <c r="I517" s="15"/>
    </row>
    <row r="518">
      <c r="E518" s="15"/>
      <c r="F518" s="17"/>
      <c r="G518" s="15"/>
      <c r="I518" s="15"/>
    </row>
    <row r="519">
      <c r="E519" s="15"/>
      <c r="F519" s="17"/>
      <c r="G519" s="15"/>
      <c r="I519" s="15"/>
    </row>
    <row r="520">
      <c r="E520" s="15"/>
      <c r="F520" s="17"/>
      <c r="G520" s="15"/>
      <c r="I520" s="15"/>
    </row>
    <row r="521">
      <c r="E521" s="15"/>
      <c r="F521" s="17"/>
      <c r="G521" s="15"/>
      <c r="I521" s="15"/>
    </row>
    <row r="522">
      <c r="E522" s="15"/>
      <c r="F522" s="17"/>
      <c r="G522" s="15"/>
      <c r="I522" s="15"/>
    </row>
    <row r="523">
      <c r="E523" s="15"/>
      <c r="F523" s="17"/>
      <c r="G523" s="15"/>
      <c r="I523" s="15"/>
    </row>
    <row r="524">
      <c r="E524" s="15"/>
      <c r="F524" s="17"/>
      <c r="G524" s="15"/>
      <c r="I524" s="15"/>
    </row>
    <row r="525">
      <c r="E525" s="15"/>
      <c r="F525" s="17"/>
      <c r="G525" s="15"/>
      <c r="I525" s="15"/>
    </row>
    <row r="526">
      <c r="E526" s="15"/>
      <c r="F526" s="17"/>
      <c r="G526" s="15"/>
      <c r="I526" s="15"/>
    </row>
    <row r="527">
      <c r="E527" s="15"/>
      <c r="F527" s="17"/>
      <c r="G527" s="15"/>
      <c r="I527" s="15"/>
    </row>
    <row r="528">
      <c r="E528" s="15"/>
      <c r="F528" s="17"/>
      <c r="G528" s="15"/>
      <c r="I528" s="15"/>
    </row>
    <row r="529">
      <c r="E529" s="15"/>
      <c r="F529" s="17"/>
      <c r="G529" s="15"/>
      <c r="I529" s="15"/>
    </row>
    <row r="530">
      <c r="E530" s="15"/>
      <c r="F530" s="17"/>
      <c r="G530" s="15"/>
      <c r="I530" s="15"/>
    </row>
    <row r="531">
      <c r="E531" s="15"/>
      <c r="F531" s="17"/>
      <c r="G531" s="15"/>
      <c r="I531" s="15"/>
    </row>
    <row r="532">
      <c r="E532" s="15"/>
      <c r="F532" s="17"/>
      <c r="G532" s="15"/>
      <c r="I532" s="15"/>
    </row>
    <row r="533">
      <c r="E533" s="15"/>
      <c r="F533" s="17"/>
      <c r="G533" s="15"/>
      <c r="I533" s="15"/>
    </row>
    <row r="534">
      <c r="E534" s="15"/>
      <c r="F534" s="17"/>
      <c r="G534" s="15"/>
      <c r="I534" s="15"/>
    </row>
    <row r="535">
      <c r="E535" s="15"/>
      <c r="F535" s="17"/>
      <c r="G535" s="15"/>
      <c r="I535" s="15"/>
    </row>
    <row r="536">
      <c r="E536" s="15"/>
      <c r="F536" s="17"/>
      <c r="G536" s="15"/>
      <c r="I536" s="15"/>
    </row>
    <row r="537">
      <c r="E537" s="15"/>
      <c r="F537" s="17"/>
      <c r="G537" s="15"/>
      <c r="I537" s="15"/>
    </row>
    <row r="538">
      <c r="E538" s="15"/>
      <c r="F538" s="17"/>
      <c r="G538" s="15"/>
      <c r="I538" s="15"/>
    </row>
    <row r="539">
      <c r="E539" s="15"/>
      <c r="F539" s="17"/>
      <c r="G539" s="15"/>
      <c r="I539" s="15"/>
    </row>
    <row r="540">
      <c r="E540" s="15"/>
      <c r="F540" s="17"/>
      <c r="G540" s="15"/>
      <c r="I540" s="15"/>
    </row>
    <row r="541">
      <c r="E541" s="15"/>
      <c r="F541" s="17"/>
      <c r="G541" s="15"/>
      <c r="I541" s="15"/>
    </row>
    <row r="542">
      <c r="E542" s="15"/>
      <c r="F542" s="17"/>
      <c r="G542" s="15"/>
      <c r="I542" s="15"/>
    </row>
    <row r="543">
      <c r="E543" s="15"/>
      <c r="F543" s="17"/>
      <c r="G543" s="15"/>
      <c r="I543" s="15"/>
    </row>
    <row r="544">
      <c r="E544" s="15"/>
      <c r="F544" s="17"/>
      <c r="G544" s="15"/>
      <c r="I544" s="15"/>
    </row>
    <row r="545">
      <c r="E545" s="15"/>
      <c r="F545" s="17"/>
      <c r="G545" s="15"/>
      <c r="I545" s="15"/>
    </row>
    <row r="546">
      <c r="E546" s="15"/>
      <c r="F546" s="17"/>
      <c r="G546" s="15"/>
      <c r="I546" s="15"/>
    </row>
    <row r="547">
      <c r="E547" s="15"/>
      <c r="F547" s="17"/>
      <c r="G547" s="15"/>
      <c r="I547" s="15"/>
    </row>
    <row r="548">
      <c r="E548" s="15"/>
      <c r="F548" s="17"/>
      <c r="G548" s="15"/>
      <c r="I548" s="15"/>
    </row>
    <row r="549">
      <c r="E549" s="15"/>
      <c r="F549" s="17"/>
      <c r="G549" s="15"/>
      <c r="I549" s="15"/>
    </row>
    <row r="550">
      <c r="E550" s="15"/>
      <c r="F550" s="17"/>
      <c r="G550" s="15"/>
      <c r="I550" s="15"/>
    </row>
    <row r="551">
      <c r="E551" s="15"/>
      <c r="F551" s="17"/>
      <c r="G551" s="15"/>
      <c r="I551" s="15"/>
    </row>
    <row r="552">
      <c r="E552" s="15"/>
      <c r="F552" s="17"/>
      <c r="G552" s="15"/>
      <c r="I552" s="15"/>
    </row>
    <row r="553">
      <c r="E553" s="15"/>
      <c r="F553" s="17"/>
      <c r="G553" s="15"/>
      <c r="I553" s="15"/>
    </row>
    <row r="554">
      <c r="E554" s="15"/>
      <c r="F554" s="17"/>
      <c r="G554" s="15"/>
      <c r="I554" s="15"/>
    </row>
    <row r="555">
      <c r="E555" s="15"/>
      <c r="F555" s="17"/>
      <c r="G555" s="15"/>
      <c r="I555" s="15"/>
    </row>
    <row r="556">
      <c r="E556" s="15"/>
      <c r="F556" s="17"/>
      <c r="G556" s="15"/>
      <c r="I556" s="15"/>
    </row>
    <row r="557">
      <c r="E557" s="15"/>
      <c r="F557" s="17"/>
      <c r="G557" s="15"/>
      <c r="I557" s="15"/>
    </row>
    <row r="558">
      <c r="E558" s="15"/>
      <c r="F558" s="17"/>
      <c r="G558" s="15"/>
      <c r="I558" s="15"/>
    </row>
    <row r="559">
      <c r="E559" s="15"/>
      <c r="F559" s="17"/>
      <c r="G559" s="15"/>
      <c r="I559" s="15"/>
    </row>
    <row r="560">
      <c r="E560" s="15"/>
      <c r="F560" s="17"/>
      <c r="G560" s="15"/>
      <c r="I560" s="15"/>
    </row>
    <row r="561">
      <c r="E561" s="15"/>
      <c r="F561" s="17"/>
      <c r="G561" s="15"/>
      <c r="I561" s="15"/>
    </row>
    <row r="562">
      <c r="E562" s="15"/>
      <c r="F562" s="17"/>
      <c r="G562" s="15"/>
      <c r="I562" s="15"/>
    </row>
    <row r="563">
      <c r="E563" s="15"/>
      <c r="F563" s="17"/>
      <c r="G563" s="15"/>
      <c r="I563" s="15"/>
    </row>
    <row r="564">
      <c r="E564" s="15"/>
      <c r="F564" s="17"/>
      <c r="G564" s="15"/>
      <c r="I564" s="15"/>
    </row>
    <row r="565">
      <c r="E565" s="15"/>
      <c r="F565" s="17"/>
      <c r="G565" s="15"/>
      <c r="I565" s="15"/>
    </row>
    <row r="566">
      <c r="E566" s="15"/>
      <c r="F566" s="17"/>
      <c r="G566" s="15"/>
      <c r="I566" s="15"/>
    </row>
    <row r="567">
      <c r="E567" s="15"/>
      <c r="F567" s="17"/>
      <c r="G567" s="15"/>
      <c r="I567" s="15"/>
    </row>
    <row r="568">
      <c r="E568" s="15"/>
      <c r="F568" s="17"/>
      <c r="G568" s="15"/>
      <c r="I568" s="15"/>
    </row>
    <row r="569">
      <c r="E569" s="15"/>
      <c r="F569" s="17"/>
      <c r="G569" s="15"/>
      <c r="I569" s="15"/>
    </row>
    <row r="570">
      <c r="E570" s="15"/>
      <c r="F570" s="17"/>
      <c r="G570" s="15"/>
      <c r="I570" s="15"/>
    </row>
    <row r="571">
      <c r="E571" s="15"/>
      <c r="F571" s="17"/>
      <c r="G571" s="15"/>
      <c r="I571" s="15"/>
    </row>
    <row r="572">
      <c r="E572" s="15"/>
      <c r="F572" s="17"/>
      <c r="G572" s="15"/>
      <c r="I572" s="15"/>
    </row>
    <row r="573">
      <c r="E573" s="15"/>
      <c r="F573" s="17"/>
      <c r="G573" s="15"/>
      <c r="I573" s="15"/>
    </row>
    <row r="574">
      <c r="E574" s="15"/>
      <c r="F574" s="17"/>
      <c r="G574" s="15"/>
      <c r="I574" s="15"/>
    </row>
    <row r="575">
      <c r="E575" s="15"/>
      <c r="F575" s="17"/>
      <c r="G575" s="15"/>
      <c r="I575" s="15"/>
    </row>
    <row r="576">
      <c r="E576" s="15"/>
      <c r="F576" s="17"/>
      <c r="G576" s="15"/>
      <c r="I576" s="15"/>
    </row>
    <row r="577">
      <c r="E577" s="15"/>
      <c r="F577" s="17"/>
      <c r="G577" s="15"/>
      <c r="I577" s="15"/>
    </row>
    <row r="578">
      <c r="E578" s="15"/>
      <c r="F578" s="17"/>
      <c r="G578" s="15"/>
      <c r="I578" s="15"/>
    </row>
    <row r="579">
      <c r="E579" s="15"/>
      <c r="F579" s="17"/>
      <c r="G579" s="15"/>
      <c r="I579" s="15"/>
    </row>
    <row r="580">
      <c r="E580" s="15"/>
      <c r="F580" s="17"/>
      <c r="G580" s="15"/>
      <c r="I580" s="15"/>
    </row>
    <row r="581">
      <c r="E581" s="15"/>
      <c r="F581" s="17"/>
      <c r="G581" s="15"/>
      <c r="I581" s="15"/>
    </row>
    <row r="582">
      <c r="E582" s="15"/>
      <c r="F582" s="17"/>
      <c r="G582" s="15"/>
      <c r="I582" s="15"/>
    </row>
    <row r="583">
      <c r="E583" s="15"/>
      <c r="F583" s="17"/>
      <c r="G583" s="15"/>
      <c r="I583" s="15"/>
    </row>
    <row r="584">
      <c r="E584" s="15"/>
      <c r="F584" s="17"/>
      <c r="G584" s="15"/>
      <c r="I584" s="15"/>
    </row>
    <row r="585">
      <c r="E585" s="15"/>
      <c r="F585" s="17"/>
      <c r="G585" s="15"/>
      <c r="I585" s="15"/>
    </row>
    <row r="586">
      <c r="E586" s="15"/>
      <c r="F586" s="17"/>
      <c r="G586" s="15"/>
      <c r="I586" s="15"/>
    </row>
    <row r="587">
      <c r="E587" s="15"/>
      <c r="F587" s="17"/>
      <c r="G587" s="15"/>
      <c r="I587" s="15"/>
    </row>
    <row r="588">
      <c r="E588" s="15"/>
      <c r="F588" s="17"/>
      <c r="G588" s="15"/>
      <c r="I588" s="15"/>
    </row>
    <row r="589">
      <c r="E589" s="15"/>
      <c r="F589" s="17"/>
      <c r="G589" s="15"/>
      <c r="I589" s="15"/>
    </row>
    <row r="590">
      <c r="E590" s="15"/>
      <c r="F590" s="17"/>
      <c r="G590" s="15"/>
      <c r="I590" s="15"/>
    </row>
    <row r="591">
      <c r="E591" s="15"/>
      <c r="F591" s="17"/>
      <c r="G591" s="15"/>
      <c r="I591" s="15"/>
    </row>
    <row r="592">
      <c r="E592" s="15"/>
      <c r="F592" s="17"/>
      <c r="G592" s="15"/>
      <c r="I592" s="15"/>
    </row>
    <row r="593">
      <c r="E593" s="15"/>
      <c r="F593" s="17"/>
      <c r="G593" s="15"/>
      <c r="I593" s="15"/>
    </row>
    <row r="594">
      <c r="E594" s="15"/>
      <c r="F594" s="17"/>
      <c r="G594" s="15"/>
      <c r="I594" s="15"/>
    </row>
    <row r="595">
      <c r="E595" s="15"/>
      <c r="F595" s="17"/>
      <c r="G595" s="15"/>
      <c r="I595" s="15"/>
    </row>
    <row r="596">
      <c r="E596" s="15"/>
      <c r="F596" s="17"/>
      <c r="G596" s="15"/>
      <c r="I596" s="15"/>
    </row>
    <row r="597">
      <c r="E597" s="15"/>
      <c r="F597" s="17"/>
      <c r="G597" s="15"/>
      <c r="I597" s="15"/>
    </row>
    <row r="598">
      <c r="E598" s="15"/>
      <c r="F598" s="17"/>
      <c r="G598" s="15"/>
      <c r="I598" s="15"/>
    </row>
    <row r="599">
      <c r="E599" s="15"/>
      <c r="F599" s="17"/>
      <c r="G599" s="15"/>
      <c r="I599" s="15"/>
    </row>
    <row r="600">
      <c r="E600" s="15"/>
      <c r="F600" s="17"/>
      <c r="G600" s="15"/>
      <c r="I600" s="15"/>
    </row>
    <row r="601">
      <c r="E601" s="15"/>
      <c r="F601" s="17"/>
      <c r="G601" s="15"/>
      <c r="I601" s="15"/>
    </row>
    <row r="602">
      <c r="E602" s="15"/>
      <c r="F602" s="17"/>
      <c r="G602" s="15"/>
      <c r="I602" s="15"/>
    </row>
    <row r="603">
      <c r="E603" s="15"/>
      <c r="F603" s="17"/>
      <c r="G603" s="15"/>
      <c r="I603" s="15"/>
    </row>
    <row r="604">
      <c r="E604" s="15"/>
      <c r="F604" s="17"/>
      <c r="G604" s="15"/>
      <c r="I604" s="15"/>
    </row>
    <row r="605">
      <c r="E605" s="15"/>
      <c r="F605" s="17"/>
      <c r="G605" s="15"/>
      <c r="I605" s="15"/>
    </row>
    <row r="606">
      <c r="E606" s="15"/>
      <c r="F606" s="17"/>
      <c r="G606" s="15"/>
      <c r="I606" s="15"/>
    </row>
    <row r="607">
      <c r="E607" s="15"/>
      <c r="F607" s="17"/>
      <c r="G607" s="15"/>
      <c r="I607" s="15"/>
    </row>
    <row r="608">
      <c r="E608" s="15"/>
      <c r="F608" s="17"/>
      <c r="G608" s="15"/>
      <c r="I608" s="15"/>
    </row>
    <row r="609">
      <c r="E609" s="15"/>
      <c r="F609" s="17"/>
      <c r="G609" s="15"/>
      <c r="I609" s="15"/>
    </row>
    <row r="610">
      <c r="E610" s="15"/>
      <c r="F610" s="17"/>
      <c r="G610" s="15"/>
      <c r="I610" s="15"/>
    </row>
    <row r="611">
      <c r="E611" s="15"/>
      <c r="F611" s="17"/>
      <c r="G611" s="15"/>
      <c r="I611" s="15"/>
    </row>
    <row r="612">
      <c r="E612" s="15"/>
      <c r="F612" s="17"/>
      <c r="G612" s="15"/>
      <c r="I612" s="15"/>
    </row>
    <row r="613">
      <c r="E613" s="15"/>
      <c r="F613" s="17"/>
      <c r="G613" s="15"/>
      <c r="I613" s="15"/>
    </row>
    <row r="614">
      <c r="E614" s="15"/>
      <c r="F614" s="17"/>
      <c r="G614" s="15"/>
      <c r="I614" s="15"/>
    </row>
    <row r="615">
      <c r="E615" s="15"/>
      <c r="F615" s="17"/>
      <c r="G615" s="15"/>
      <c r="I615" s="15"/>
    </row>
    <row r="616">
      <c r="E616" s="15"/>
      <c r="F616" s="17"/>
      <c r="G616" s="15"/>
      <c r="I616" s="15"/>
    </row>
    <row r="617">
      <c r="E617" s="15"/>
      <c r="F617" s="17"/>
      <c r="G617" s="15"/>
      <c r="I617" s="15"/>
    </row>
    <row r="618">
      <c r="E618" s="15"/>
      <c r="F618" s="17"/>
      <c r="G618" s="15"/>
      <c r="I618" s="15"/>
    </row>
    <row r="619">
      <c r="E619" s="15"/>
      <c r="F619" s="17"/>
      <c r="G619" s="15"/>
      <c r="I619" s="15"/>
    </row>
    <row r="620">
      <c r="E620" s="15"/>
      <c r="F620" s="17"/>
      <c r="G620" s="15"/>
      <c r="I620" s="15"/>
    </row>
    <row r="621">
      <c r="E621" s="15"/>
      <c r="F621" s="17"/>
      <c r="G621" s="15"/>
      <c r="I621" s="15"/>
    </row>
    <row r="622">
      <c r="E622" s="15"/>
      <c r="F622" s="17"/>
      <c r="G622" s="15"/>
      <c r="I622" s="15"/>
    </row>
    <row r="623">
      <c r="E623" s="15"/>
      <c r="F623" s="17"/>
      <c r="G623" s="15"/>
      <c r="I623" s="15"/>
    </row>
    <row r="624">
      <c r="E624" s="15"/>
      <c r="F624" s="17"/>
      <c r="G624" s="15"/>
      <c r="I624" s="15"/>
    </row>
    <row r="625">
      <c r="E625" s="15"/>
      <c r="F625" s="17"/>
      <c r="G625" s="15"/>
      <c r="I625" s="15"/>
    </row>
    <row r="626">
      <c r="E626" s="15"/>
      <c r="F626" s="17"/>
      <c r="G626" s="15"/>
      <c r="I626" s="15"/>
    </row>
    <row r="627">
      <c r="E627" s="15"/>
      <c r="F627" s="17"/>
      <c r="G627" s="15"/>
      <c r="I627" s="15"/>
    </row>
    <row r="628">
      <c r="E628" s="15"/>
      <c r="F628" s="17"/>
      <c r="G628" s="15"/>
      <c r="I628" s="15"/>
    </row>
    <row r="629">
      <c r="E629" s="15"/>
      <c r="F629" s="17"/>
      <c r="G629" s="15"/>
      <c r="I629" s="15"/>
    </row>
    <row r="630">
      <c r="E630" s="15"/>
      <c r="F630" s="17"/>
      <c r="G630" s="15"/>
      <c r="I630" s="15"/>
    </row>
    <row r="631">
      <c r="E631" s="15"/>
      <c r="F631" s="17"/>
      <c r="G631" s="15"/>
      <c r="I631" s="15"/>
    </row>
    <row r="632">
      <c r="E632" s="15"/>
      <c r="F632" s="17"/>
      <c r="G632" s="15"/>
      <c r="I632" s="15"/>
    </row>
    <row r="633">
      <c r="E633" s="15"/>
      <c r="F633" s="17"/>
      <c r="G633" s="15"/>
      <c r="I633" s="15"/>
    </row>
    <row r="634">
      <c r="E634" s="15"/>
      <c r="F634" s="17"/>
      <c r="G634" s="15"/>
      <c r="I634" s="15"/>
    </row>
    <row r="635">
      <c r="E635" s="15"/>
      <c r="F635" s="17"/>
      <c r="G635" s="15"/>
      <c r="I635" s="15"/>
    </row>
    <row r="636">
      <c r="E636" s="15"/>
      <c r="F636" s="17"/>
      <c r="G636" s="15"/>
      <c r="I636" s="15"/>
    </row>
    <row r="637">
      <c r="E637" s="15"/>
      <c r="F637" s="17"/>
      <c r="G637" s="15"/>
      <c r="I637" s="15"/>
    </row>
    <row r="638">
      <c r="E638" s="15"/>
      <c r="F638" s="17"/>
      <c r="G638" s="15"/>
      <c r="I638" s="15"/>
    </row>
    <row r="639">
      <c r="E639" s="15"/>
      <c r="F639" s="17"/>
      <c r="G639" s="15"/>
      <c r="I639" s="15"/>
    </row>
    <row r="640">
      <c r="E640" s="15"/>
      <c r="F640" s="17"/>
      <c r="G640" s="15"/>
      <c r="I640" s="15"/>
    </row>
    <row r="641">
      <c r="E641" s="15"/>
      <c r="F641" s="17"/>
      <c r="G641" s="15"/>
      <c r="I641" s="15"/>
    </row>
    <row r="642">
      <c r="E642" s="15"/>
      <c r="F642" s="17"/>
      <c r="G642" s="15"/>
      <c r="I642" s="15"/>
    </row>
    <row r="643">
      <c r="E643" s="15"/>
      <c r="F643" s="17"/>
      <c r="G643" s="15"/>
      <c r="I643" s="15"/>
    </row>
    <row r="644">
      <c r="E644" s="15"/>
      <c r="F644" s="17"/>
      <c r="G644" s="15"/>
      <c r="I644" s="15"/>
    </row>
    <row r="645">
      <c r="E645" s="15"/>
      <c r="F645" s="17"/>
      <c r="G645" s="15"/>
      <c r="I645" s="15"/>
    </row>
    <row r="646">
      <c r="E646" s="15"/>
      <c r="F646" s="17"/>
      <c r="G646" s="15"/>
      <c r="I646" s="15"/>
    </row>
    <row r="647">
      <c r="E647" s="15"/>
      <c r="F647" s="17"/>
      <c r="G647" s="15"/>
      <c r="I647" s="15"/>
    </row>
    <row r="648">
      <c r="E648" s="15"/>
      <c r="F648" s="17"/>
      <c r="G648" s="15"/>
      <c r="I648" s="15"/>
    </row>
    <row r="649">
      <c r="E649" s="15"/>
      <c r="F649" s="17"/>
      <c r="G649" s="15"/>
      <c r="I649" s="15"/>
    </row>
    <row r="650">
      <c r="E650" s="15"/>
      <c r="F650" s="17"/>
      <c r="G650" s="15"/>
      <c r="I650" s="15"/>
    </row>
    <row r="651">
      <c r="E651" s="15"/>
      <c r="F651" s="17"/>
      <c r="G651" s="15"/>
      <c r="I651" s="15"/>
    </row>
    <row r="652">
      <c r="E652" s="15"/>
      <c r="F652" s="17"/>
      <c r="G652" s="15"/>
      <c r="I652" s="15"/>
    </row>
    <row r="653">
      <c r="E653" s="15"/>
      <c r="F653" s="17"/>
      <c r="G653" s="15"/>
      <c r="I653" s="15"/>
    </row>
    <row r="654">
      <c r="E654" s="15"/>
      <c r="F654" s="17"/>
      <c r="G654" s="15"/>
      <c r="I654" s="15"/>
    </row>
    <row r="655">
      <c r="E655" s="15"/>
      <c r="F655" s="17"/>
      <c r="G655" s="15"/>
      <c r="I655" s="15"/>
    </row>
    <row r="656">
      <c r="E656" s="15"/>
      <c r="F656" s="17"/>
      <c r="G656" s="15"/>
      <c r="I656" s="15"/>
    </row>
    <row r="657">
      <c r="E657" s="15"/>
      <c r="F657" s="17"/>
      <c r="G657" s="15"/>
      <c r="I657" s="15"/>
    </row>
    <row r="658">
      <c r="E658" s="15"/>
      <c r="F658" s="17"/>
      <c r="G658" s="15"/>
      <c r="I658" s="15"/>
    </row>
    <row r="659">
      <c r="E659" s="15"/>
      <c r="F659" s="17"/>
      <c r="G659" s="15"/>
      <c r="I659" s="15"/>
    </row>
    <row r="660">
      <c r="E660" s="15"/>
      <c r="F660" s="17"/>
      <c r="G660" s="15"/>
      <c r="I660" s="15"/>
    </row>
    <row r="661">
      <c r="E661" s="15"/>
      <c r="F661" s="17"/>
      <c r="G661" s="15"/>
      <c r="I661" s="15"/>
    </row>
    <row r="662">
      <c r="E662" s="15"/>
      <c r="F662" s="17"/>
      <c r="G662" s="15"/>
      <c r="I662" s="15"/>
    </row>
    <row r="663">
      <c r="E663" s="15"/>
      <c r="F663" s="17"/>
      <c r="G663" s="15"/>
      <c r="I663" s="15"/>
    </row>
    <row r="664">
      <c r="E664" s="15"/>
      <c r="F664" s="17"/>
      <c r="G664" s="15"/>
      <c r="I664" s="15"/>
    </row>
    <row r="665">
      <c r="E665" s="15"/>
      <c r="F665" s="17"/>
      <c r="G665" s="15"/>
      <c r="I665" s="15"/>
    </row>
    <row r="666">
      <c r="E666" s="15"/>
      <c r="F666" s="17"/>
      <c r="G666" s="15"/>
      <c r="I666" s="15"/>
    </row>
    <row r="667">
      <c r="E667" s="15"/>
      <c r="F667" s="17"/>
      <c r="G667" s="15"/>
      <c r="I667" s="15"/>
    </row>
    <row r="668">
      <c r="E668" s="15"/>
      <c r="F668" s="17"/>
      <c r="G668" s="15"/>
      <c r="I668" s="15"/>
    </row>
    <row r="669">
      <c r="E669" s="15"/>
      <c r="F669" s="17"/>
      <c r="G669" s="15"/>
      <c r="I669" s="15"/>
    </row>
    <row r="670">
      <c r="E670" s="15"/>
      <c r="F670" s="17"/>
      <c r="G670" s="15"/>
      <c r="I670" s="15"/>
    </row>
    <row r="671">
      <c r="E671" s="15"/>
      <c r="F671" s="17"/>
      <c r="G671" s="15"/>
      <c r="I671" s="15"/>
    </row>
    <row r="672">
      <c r="E672" s="15"/>
      <c r="F672" s="17"/>
      <c r="G672" s="15"/>
      <c r="I672" s="15"/>
    </row>
    <row r="673">
      <c r="E673" s="15"/>
      <c r="F673" s="17"/>
      <c r="G673" s="15"/>
      <c r="I673" s="15"/>
    </row>
    <row r="674">
      <c r="E674" s="15"/>
      <c r="F674" s="17"/>
      <c r="G674" s="15"/>
      <c r="I674" s="15"/>
    </row>
    <row r="675">
      <c r="E675" s="15"/>
      <c r="F675" s="17"/>
      <c r="G675" s="15"/>
      <c r="I675" s="15"/>
    </row>
    <row r="676">
      <c r="E676" s="15"/>
      <c r="F676" s="17"/>
      <c r="G676" s="15"/>
      <c r="I676" s="15"/>
    </row>
    <row r="677">
      <c r="E677" s="15"/>
      <c r="F677" s="17"/>
      <c r="G677" s="15"/>
      <c r="I677" s="15"/>
    </row>
    <row r="678">
      <c r="E678" s="15"/>
      <c r="F678" s="17"/>
      <c r="G678" s="15"/>
      <c r="I678" s="15"/>
    </row>
    <row r="679">
      <c r="E679" s="15"/>
      <c r="F679" s="17"/>
      <c r="G679" s="15"/>
      <c r="I679" s="15"/>
    </row>
    <row r="680">
      <c r="E680" s="15"/>
      <c r="F680" s="17"/>
      <c r="G680" s="15"/>
      <c r="I680" s="15"/>
    </row>
    <row r="681">
      <c r="E681" s="15"/>
      <c r="F681" s="17"/>
      <c r="G681" s="15"/>
      <c r="I681" s="15"/>
    </row>
    <row r="682">
      <c r="E682" s="15"/>
      <c r="F682" s="17"/>
      <c r="G682" s="15"/>
      <c r="I682" s="15"/>
    </row>
    <row r="683">
      <c r="E683" s="15"/>
      <c r="F683" s="17"/>
      <c r="G683" s="15"/>
      <c r="I683" s="15"/>
    </row>
    <row r="684">
      <c r="E684" s="15"/>
      <c r="F684" s="17"/>
      <c r="G684" s="15"/>
      <c r="I684" s="15"/>
    </row>
    <row r="685">
      <c r="E685" s="15"/>
      <c r="F685" s="17"/>
      <c r="G685" s="15"/>
      <c r="I685" s="15"/>
    </row>
    <row r="686">
      <c r="E686" s="15"/>
      <c r="F686" s="17"/>
      <c r="G686" s="15"/>
      <c r="I686" s="15"/>
    </row>
    <row r="687">
      <c r="E687" s="15"/>
      <c r="F687" s="17"/>
      <c r="G687" s="15"/>
      <c r="I687" s="15"/>
    </row>
    <row r="688">
      <c r="E688" s="15"/>
      <c r="F688" s="17"/>
      <c r="G688" s="15"/>
      <c r="I688" s="15"/>
    </row>
    <row r="689">
      <c r="E689" s="15"/>
      <c r="F689" s="17"/>
      <c r="G689" s="15"/>
      <c r="I689" s="15"/>
    </row>
    <row r="690">
      <c r="E690" s="15"/>
      <c r="F690" s="17"/>
      <c r="G690" s="15"/>
      <c r="I690" s="15"/>
    </row>
    <row r="691">
      <c r="E691" s="15"/>
      <c r="F691" s="17"/>
      <c r="G691" s="15"/>
      <c r="I691" s="15"/>
    </row>
    <row r="692">
      <c r="E692" s="15"/>
      <c r="F692" s="17"/>
      <c r="G692" s="15"/>
      <c r="I692" s="15"/>
    </row>
    <row r="693">
      <c r="E693" s="15"/>
      <c r="F693" s="17"/>
      <c r="G693" s="15"/>
      <c r="I693" s="15"/>
    </row>
    <row r="694">
      <c r="E694" s="15"/>
      <c r="F694" s="17"/>
      <c r="G694" s="15"/>
      <c r="I694" s="15"/>
    </row>
    <row r="695">
      <c r="E695" s="15"/>
      <c r="F695" s="17"/>
      <c r="G695" s="15"/>
      <c r="I695" s="15"/>
    </row>
    <row r="696">
      <c r="E696" s="15"/>
      <c r="F696" s="17"/>
      <c r="G696" s="15"/>
      <c r="I696" s="15"/>
    </row>
    <row r="697">
      <c r="E697" s="15"/>
      <c r="F697" s="17"/>
      <c r="G697" s="15"/>
      <c r="I697" s="15"/>
    </row>
    <row r="698">
      <c r="E698" s="15"/>
      <c r="F698" s="17"/>
      <c r="G698" s="15"/>
      <c r="I698" s="15"/>
    </row>
    <row r="699">
      <c r="E699" s="15"/>
      <c r="F699" s="17"/>
      <c r="G699" s="15"/>
      <c r="I699" s="15"/>
    </row>
    <row r="700">
      <c r="E700" s="15"/>
      <c r="F700" s="17"/>
      <c r="G700" s="15"/>
      <c r="I700" s="15"/>
    </row>
    <row r="701">
      <c r="E701" s="15"/>
      <c r="F701" s="17"/>
      <c r="G701" s="15"/>
      <c r="I701" s="15"/>
    </row>
    <row r="702">
      <c r="E702" s="15"/>
      <c r="F702" s="17"/>
      <c r="G702" s="15"/>
      <c r="I702" s="15"/>
    </row>
    <row r="703">
      <c r="E703" s="15"/>
      <c r="F703" s="17"/>
      <c r="G703" s="15"/>
      <c r="I703" s="15"/>
    </row>
    <row r="704">
      <c r="E704" s="15"/>
      <c r="F704" s="17"/>
      <c r="G704" s="15"/>
      <c r="I704" s="15"/>
    </row>
    <row r="705">
      <c r="E705" s="15"/>
      <c r="F705" s="17"/>
      <c r="G705" s="15"/>
      <c r="I705" s="15"/>
    </row>
    <row r="706">
      <c r="E706" s="15"/>
      <c r="F706" s="17"/>
      <c r="G706" s="15"/>
      <c r="I706" s="15"/>
    </row>
    <row r="707">
      <c r="E707" s="15"/>
      <c r="F707" s="17"/>
      <c r="G707" s="15"/>
      <c r="I707" s="15"/>
    </row>
    <row r="708">
      <c r="E708" s="15"/>
      <c r="F708" s="17"/>
      <c r="G708" s="15"/>
      <c r="I708" s="15"/>
    </row>
    <row r="709">
      <c r="E709" s="15"/>
      <c r="F709" s="17"/>
      <c r="G709" s="15"/>
      <c r="I709" s="15"/>
    </row>
    <row r="710">
      <c r="E710" s="15"/>
      <c r="F710" s="17"/>
      <c r="G710" s="15"/>
      <c r="I710" s="15"/>
    </row>
    <row r="711">
      <c r="E711" s="15"/>
      <c r="F711" s="17"/>
      <c r="G711" s="15"/>
      <c r="I711" s="15"/>
    </row>
    <row r="712">
      <c r="E712" s="15"/>
      <c r="F712" s="17"/>
      <c r="G712" s="15"/>
      <c r="I712" s="15"/>
    </row>
    <row r="713">
      <c r="E713" s="15"/>
      <c r="F713" s="17"/>
      <c r="G713" s="15"/>
      <c r="I713" s="15"/>
    </row>
    <row r="714">
      <c r="E714" s="15"/>
      <c r="F714" s="17"/>
      <c r="G714" s="15"/>
      <c r="I714" s="15"/>
    </row>
    <row r="715">
      <c r="E715" s="15"/>
      <c r="F715" s="17"/>
      <c r="G715" s="15"/>
      <c r="I715" s="15"/>
    </row>
    <row r="716">
      <c r="E716" s="15"/>
      <c r="F716" s="17"/>
      <c r="G716" s="15"/>
      <c r="I716" s="15"/>
    </row>
    <row r="717">
      <c r="E717" s="15"/>
      <c r="F717" s="17"/>
      <c r="G717" s="15"/>
      <c r="I717" s="15"/>
    </row>
    <row r="718">
      <c r="E718" s="15"/>
      <c r="F718" s="17"/>
      <c r="G718" s="15"/>
      <c r="I718" s="15"/>
    </row>
    <row r="719">
      <c r="E719" s="15"/>
      <c r="F719" s="17"/>
      <c r="G719" s="15"/>
      <c r="I719" s="15"/>
    </row>
    <row r="720">
      <c r="E720" s="15"/>
      <c r="F720" s="17"/>
      <c r="G720" s="15"/>
      <c r="I720" s="15"/>
    </row>
    <row r="721">
      <c r="E721" s="15"/>
      <c r="F721" s="17"/>
      <c r="G721" s="15"/>
      <c r="I721" s="15"/>
    </row>
    <row r="722">
      <c r="E722" s="15"/>
      <c r="F722" s="17"/>
      <c r="G722" s="15"/>
      <c r="I722" s="15"/>
    </row>
    <row r="723">
      <c r="E723" s="15"/>
      <c r="F723" s="17"/>
      <c r="G723" s="15"/>
      <c r="I723" s="15"/>
    </row>
    <row r="724">
      <c r="E724" s="15"/>
      <c r="F724" s="17"/>
      <c r="G724" s="15"/>
      <c r="I724" s="15"/>
    </row>
    <row r="725">
      <c r="E725" s="15"/>
      <c r="F725" s="17"/>
      <c r="G725" s="15"/>
      <c r="I725" s="15"/>
    </row>
    <row r="726">
      <c r="E726" s="15"/>
      <c r="F726" s="17"/>
      <c r="G726" s="15"/>
      <c r="I726" s="15"/>
    </row>
    <row r="727">
      <c r="E727" s="15"/>
      <c r="F727" s="17"/>
      <c r="G727" s="15"/>
      <c r="I727" s="15"/>
    </row>
    <row r="728">
      <c r="E728" s="15"/>
      <c r="F728" s="17"/>
      <c r="G728" s="15"/>
      <c r="I728" s="15"/>
    </row>
    <row r="729">
      <c r="E729" s="15"/>
      <c r="F729" s="17"/>
      <c r="G729" s="15"/>
      <c r="I729" s="15"/>
    </row>
    <row r="730">
      <c r="E730" s="15"/>
      <c r="F730" s="17"/>
      <c r="G730" s="15"/>
      <c r="I730" s="15"/>
    </row>
    <row r="731">
      <c r="E731" s="15"/>
      <c r="F731" s="17"/>
      <c r="G731" s="15"/>
      <c r="I731" s="15"/>
    </row>
    <row r="732">
      <c r="E732" s="15"/>
      <c r="F732" s="17"/>
      <c r="G732" s="15"/>
      <c r="I732" s="15"/>
    </row>
    <row r="733">
      <c r="E733" s="15"/>
      <c r="F733" s="17"/>
      <c r="G733" s="15"/>
      <c r="I733" s="15"/>
    </row>
    <row r="734">
      <c r="E734" s="15"/>
      <c r="F734" s="17"/>
      <c r="G734" s="15"/>
      <c r="I734" s="15"/>
    </row>
    <row r="735">
      <c r="E735" s="15"/>
      <c r="F735" s="17"/>
      <c r="G735" s="15"/>
      <c r="I735" s="15"/>
    </row>
    <row r="736">
      <c r="E736" s="15"/>
      <c r="F736" s="17"/>
      <c r="G736" s="15"/>
      <c r="I736" s="15"/>
    </row>
    <row r="737">
      <c r="E737" s="15"/>
      <c r="F737" s="17"/>
      <c r="G737" s="15"/>
      <c r="I737" s="15"/>
    </row>
    <row r="738">
      <c r="E738" s="15"/>
      <c r="F738" s="17"/>
      <c r="G738" s="15"/>
      <c r="I738" s="15"/>
    </row>
    <row r="739">
      <c r="E739" s="15"/>
      <c r="F739" s="17"/>
      <c r="G739" s="15"/>
      <c r="I739" s="15"/>
    </row>
    <row r="740">
      <c r="E740" s="15"/>
      <c r="F740" s="17"/>
      <c r="G740" s="15"/>
      <c r="I740" s="15"/>
    </row>
    <row r="741">
      <c r="E741" s="15"/>
      <c r="F741" s="17"/>
      <c r="G741" s="15"/>
      <c r="I741" s="15"/>
    </row>
    <row r="742">
      <c r="E742" s="15"/>
      <c r="F742" s="17"/>
      <c r="G742" s="15"/>
      <c r="I742" s="15"/>
    </row>
    <row r="743">
      <c r="E743" s="15"/>
      <c r="F743" s="17"/>
      <c r="G743" s="15"/>
      <c r="I743" s="15"/>
    </row>
    <row r="744">
      <c r="E744" s="15"/>
      <c r="F744" s="17"/>
      <c r="G744" s="15"/>
      <c r="I744" s="15"/>
    </row>
    <row r="745">
      <c r="E745" s="15"/>
      <c r="F745" s="17"/>
      <c r="G745" s="15"/>
      <c r="I745" s="15"/>
    </row>
    <row r="746">
      <c r="E746" s="15"/>
      <c r="F746" s="17"/>
      <c r="G746" s="15"/>
      <c r="I746" s="15"/>
    </row>
    <row r="747">
      <c r="E747" s="15"/>
      <c r="F747" s="17"/>
      <c r="G747" s="15"/>
      <c r="I747" s="15"/>
    </row>
    <row r="748">
      <c r="E748" s="15"/>
      <c r="F748" s="17"/>
      <c r="G748" s="15"/>
      <c r="I748" s="15"/>
    </row>
    <row r="749">
      <c r="E749" s="15"/>
      <c r="F749" s="17"/>
      <c r="G749" s="15"/>
      <c r="I749" s="15"/>
    </row>
    <row r="750">
      <c r="E750" s="15"/>
      <c r="F750" s="17"/>
      <c r="G750" s="15"/>
      <c r="I750" s="15"/>
    </row>
    <row r="751">
      <c r="E751" s="15"/>
      <c r="F751" s="17"/>
      <c r="G751" s="15"/>
      <c r="I751" s="15"/>
    </row>
    <row r="752">
      <c r="E752" s="15"/>
      <c r="F752" s="17"/>
      <c r="G752" s="15"/>
      <c r="I752" s="15"/>
    </row>
    <row r="753">
      <c r="E753" s="15"/>
      <c r="F753" s="17"/>
      <c r="G753" s="15"/>
      <c r="I753" s="15"/>
    </row>
    <row r="754">
      <c r="E754" s="15"/>
      <c r="F754" s="17"/>
      <c r="G754" s="15"/>
      <c r="I754" s="15"/>
    </row>
    <row r="755">
      <c r="E755" s="15"/>
      <c r="F755" s="17"/>
      <c r="G755" s="15"/>
      <c r="I755" s="15"/>
    </row>
    <row r="756">
      <c r="E756" s="15"/>
      <c r="F756" s="17"/>
      <c r="G756" s="15"/>
      <c r="I756" s="15"/>
    </row>
    <row r="757">
      <c r="E757" s="15"/>
      <c r="F757" s="17"/>
      <c r="G757" s="15"/>
      <c r="I757" s="15"/>
    </row>
    <row r="758">
      <c r="E758" s="15"/>
      <c r="F758" s="17"/>
      <c r="G758" s="15"/>
      <c r="I758" s="15"/>
    </row>
    <row r="759">
      <c r="E759" s="15"/>
      <c r="F759" s="17"/>
      <c r="G759" s="15"/>
      <c r="I759" s="15"/>
    </row>
    <row r="760">
      <c r="E760" s="15"/>
      <c r="F760" s="17"/>
      <c r="G760" s="15"/>
      <c r="I760" s="15"/>
    </row>
    <row r="761">
      <c r="E761" s="15"/>
      <c r="F761" s="17"/>
      <c r="G761" s="15"/>
      <c r="I761" s="15"/>
    </row>
    <row r="762">
      <c r="E762" s="15"/>
      <c r="F762" s="17"/>
      <c r="G762" s="15"/>
      <c r="I762" s="15"/>
    </row>
    <row r="763">
      <c r="E763" s="15"/>
      <c r="F763" s="17"/>
      <c r="G763" s="15"/>
      <c r="I763" s="15"/>
    </row>
    <row r="764">
      <c r="E764" s="15"/>
      <c r="F764" s="17"/>
      <c r="G764" s="15"/>
      <c r="I764" s="15"/>
    </row>
    <row r="765">
      <c r="E765" s="15"/>
      <c r="F765" s="17"/>
      <c r="G765" s="15"/>
      <c r="I765" s="15"/>
    </row>
    <row r="766">
      <c r="E766" s="15"/>
      <c r="F766" s="17"/>
      <c r="G766" s="15"/>
      <c r="I766" s="15"/>
    </row>
    <row r="767">
      <c r="E767" s="15"/>
      <c r="F767" s="17"/>
      <c r="G767" s="15"/>
      <c r="I767" s="15"/>
    </row>
    <row r="768">
      <c r="E768" s="15"/>
      <c r="F768" s="17"/>
      <c r="G768" s="15"/>
      <c r="I768" s="15"/>
    </row>
    <row r="769">
      <c r="E769" s="15"/>
      <c r="F769" s="17"/>
      <c r="G769" s="15"/>
      <c r="I769" s="15"/>
    </row>
    <row r="770">
      <c r="E770" s="15"/>
      <c r="F770" s="17"/>
      <c r="G770" s="15"/>
      <c r="I770" s="15"/>
    </row>
    <row r="771">
      <c r="E771" s="15"/>
      <c r="F771" s="17"/>
      <c r="G771" s="15"/>
      <c r="I771" s="15"/>
    </row>
    <row r="772">
      <c r="E772" s="15"/>
      <c r="F772" s="17"/>
      <c r="G772" s="15"/>
      <c r="I772" s="15"/>
    </row>
    <row r="773">
      <c r="E773" s="15"/>
      <c r="F773" s="17"/>
      <c r="G773" s="15"/>
      <c r="I773" s="15"/>
    </row>
    <row r="774">
      <c r="E774" s="15"/>
      <c r="F774" s="17"/>
      <c r="G774" s="15"/>
      <c r="I774" s="15"/>
    </row>
    <row r="775">
      <c r="E775" s="15"/>
      <c r="F775" s="17"/>
      <c r="G775" s="15"/>
      <c r="I775" s="15"/>
    </row>
    <row r="776">
      <c r="E776" s="15"/>
      <c r="F776" s="17"/>
      <c r="G776" s="15"/>
      <c r="I776" s="15"/>
    </row>
    <row r="777">
      <c r="E777" s="15"/>
      <c r="F777" s="17"/>
      <c r="G777" s="15"/>
      <c r="I777" s="15"/>
    </row>
    <row r="778">
      <c r="E778" s="15"/>
      <c r="F778" s="17"/>
      <c r="G778" s="15"/>
      <c r="I778" s="15"/>
    </row>
    <row r="779">
      <c r="E779" s="15"/>
      <c r="F779" s="17"/>
      <c r="G779" s="15"/>
      <c r="I779" s="15"/>
    </row>
    <row r="780">
      <c r="E780" s="15"/>
      <c r="F780" s="17"/>
      <c r="G780" s="15"/>
      <c r="I780" s="15"/>
    </row>
    <row r="781">
      <c r="E781" s="15"/>
      <c r="F781" s="17"/>
      <c r="G781" s="15"/>
      <c r="I781" s="15"/>
    </row>
    <row r="782">
      <c r="E782" s="15"/>
      <c r="F782" s="17"/>
      <c r="G782" s="15"/>
      <c r="I782" s="15"/>
    </row>
    <row r="783">
      <c r="E783" s="15"/>
      <c r="F783" s="17"/>
      <c r="G783" s="15"/>
      <c r="I783" s="15"/>
    </row>
    <row r="784">
      <c r="E784" s="15"/>
      <c r="F784" s="17"/>
      <c r="G784" s="15"/>
      <c r="I784" s="15"/>
    </row>
    <row r="785">
      <c r="E785" s="15"/>
      <c r="F785" s="17"/>
      <c r="G785" s="15"/>
      <c r="I785" s="15"/>
    </row>
    <row r="786">
      <c r="E786" s="15"/>
      <c r="F786" s="17"/>
      <c r="G786" s="15"/>
      <c r="I786" s="15"/>
    </row>
    <row r="787">
      <c r="E787" s="15"/>
      <c r="F787" s="17"/>
      <c r="G787" s="15"/>
      <c r="I787" s="15"/>
    </row>
    <row r="788">
      <c r="E788" s="15"/>
      <c r="F788" s="17"/>
      <c r="G788" s="15"/>
      <c r="I788" s="15"/>
    </row>
    <row r="789">
      <c r="E789" s="15"/>
      <c r="F789" s="17"/>
      <c r="G789" s="15"/>
      <c r="I789" s="15"/>
    </row>
    <row r="790">
      <c r="E790" s="15"/>
      <c r="F790" s="17"/>
      <c r="G790" s="15"/>
      <c r="I790" s="15"/>
    </row>
    <row r="791">
      <c r="E791" s="15"/>
      <c r="F791" s="17"/>
      <c r="G791" s="15"/>
      <c r="I791" s="15"/>
    </row>
    <row r="792">
      <c r="E792" s="15"/>
      <c r="F792" s="17"/>
      <c r="G792" s="15"/>
      <c r="I792" s="15"/>
    </row>
    <row r="793">
      <c r="E793" s="15"/>
      <c r="F793" s="17"/>
      <c r="G793" s="15"/>
      <c r="I793" s="15"/>
    </row>
    <row r="794">
      <c r="E794" s="15"/>
      <c r="F794" s="17"/>
      <c r="G794" s="15"/>
      <c r="I794" s="15"/>
    </row>
    <row r="795">
      <c r="E795" s="15"/>
      <c r="F795" s="17"/>
      <c r="G795" s="15"/>
      <c r="I795" s="15"/>
    </row>
    <row r="796">
      <c r="E796" s="15"/>
      <c r="F796" s="17"/>
      <c r="G796" s="15"/>
      <c r="I796" s="15"/>
    </row>
    <row r="797">
      <c r="E797" s="15"/>
      <c r="F797" s="17"/>
      <c r="G797" s="15"/>
      <c r="I797" s="15"/>
    </row>
    <row r="798">
      <c r="E798" s="15"/>
      <c r="F798" s="17"/>
      <c r="G798" s="15"/>
      <c r="I798" s="15"/>
    </row>
    <row r="799">
      <c r="E799" s="15"/>
      <c r="F799" s="17"/>
      <c r="G799" s="15"/>
      <c r="I799" s="15"/>
    </row>
    <row r="800">
      <c r="E800" s="15"/>
      <c r="F800" s="17"/>
      <c r="G800" s="15"/>
      <c r="I800" s="15"/>
    </row>
    <row r="801">
      <c r="E801" s="15"/>
      <c r="F801" s="17"/>
      <c r="G801" s="15"/>
      <c r="I801" s="15"/>
    </row>
    <row r="802">
      <c r="E802" s="15"/>
      <c r="F802" s="17"/>
      <c r="G802" s="15"/>
      <c r="I802" s="15"/>
    </row>
    <row r="803">
      <c r="E803" s="15"/>
      <c r="F803" s="17"/>
      <c r="G803" s="15"/>
      <c r="I803" s="15"/>
    </row>
    <row r="804">
      <c r="E804" s="15"/>
      <c r="F804" s="17"/>
      <c r="G804" s="15"/>
      <c r="I804" s="15"/>
    </row>
    <row r="805">
      <c r="E805" s="15"/>
      <c r="F805" s="17"/>
      <c r="G805" s="15"/>
      <c r="I805" s="15"/>
    </row>
    <row r="806">
      <c r="E806" s="15"/>
      <c r="F806" s="17"/>
      <c r="G806" s="15"/>
      <c r="I806" s="15"/>
    </row>
    <row r="807">
      <c r="E807" s="15"/>
      <c r="F807" s="17"/>
      <c r="G807" s="15"/>
      <c r="I807" s="15"/>
    </row>
    <row r="808">
      <c r="E808" s="15"/>
      <c r="F808" s="17"/>
      <c r="G808" s="15"/>
      <c r="I808" s="15"/>
    </row>
    <row r="809">
      <c r="E809" s="15"/>
      <c r="F809" s="17"/>
      <c r="G809" s="15"/>
      <c r="I809" s="15"/>
    </row>
    <row r="810">
      <c r="E810" s="15"/>
      <c r="F810" s="17"/>
      <c r="G810" s="15"/>
      <c r="I810" s="15"/>
    </row>
    <row r="811">
      <c r="E811" s="15"/>
      <c r="F811" s="17"/>
      <c r="G811" s="15"/>
      <c r="I811" s="15"/>
    </row>
    <row r="812">
      <c r="E812" s="15"/>
      <c r="F812" s="17"/>
      <c r="G812" s="15"/>
      <c r="I812" s="15"/>
    </row>
    <row r="813">
      <c r="E813" s="15"/>
      <c r="F813" s="17"/>
      <c r="G813" s="15"/>
      <c r="I813" s="15"/>
    </row>
    <row r="814">
      <c r="E814" s="15"/>
      <c r="F814" s="17"/>
      <c r="G814" s="15"/>
      <c r="I814" s="15"/>
    </row>
    <row r="815">
      <c r="E815" s="15"/>
      <c r="F815" s="17"/>
      <c r="G815" s="15"/>
      <c r="I815" s="15"/>
    </row>
    <row r="816">
      <c r="E816" s="15"/>
      <c r="F816" s="17"/>
      <c r="G816" s="15"/>
      <c r="I816" s="15"/>
    </row>
    <row r="817">
      <c r="E817" s="15"/>
      <c r="F817" s="17"/>
      <c r="G817" s="15"/>
      <c r="I817" s="15"/>
    </row>
    <row r="818">
      <c r="E818" s="15"/>
      <c r="F818" s="17"/>
      <c r="G818" s="15"/>
      <c r="I818" s="15"/>
    </row>
    <row r="819">
      <c r="E819" s="15"/>
      <c r="F819" s="17"/>
      <c r="G819" s="15"/>
      <c r="I819" s="15"/>
    </row>
    <row r="820">
      <c r="E820" s="15"/>
      <c r="F820" s="17"/>
      <c r="G820" s="15"/>
      <c r="I820" s="15"/>
    </row>
    <row r="821">
      <c r="E821" s="15"/>
      <c r="F821" s="17"/>
      <c r="G821" s="15"/>
      <c r="I821" s="15"/>
    </row>
    <row r="822">
      <c r="E822" s="15"/>
      <c r="F822" s="17"/>
      <c r="G822" s="15"/>
      <c r="I822" s="15"/>
    </row>
    <row r="823">
      <c r="E823" s="15"/>
      <c r="F823" s="17"/>
      <c r="G823" s="15"/>
      <c r="I823" s="15"/>
    </row>
    <row r="824">
      <c r="E824" s="15"/>
      <c r="F824" s="17"/>
      <c r="G824" s="15"/>
      <c r="I824" s="15"/>
    </row>
    <row r="825">
      <c r="E825" s="15"/>
      <c r="F825" s="17"/>
      <c r="G825" s="15"/>
      <c r="I825" s="15"/>
    </row>
    <row r="826">
      <c r="E826" s="15"/>
      <c r="F826" s="17"/>
      <c r="G826" s="15"/>
      <c r="I826" s="15"/>
    </row>
    <row r="827">
      <c r="E827" s="15"/>
      <c r="F827" s="17"/>
      <c r="G827" s="15"/>
      <c r="I827" s="15"/>
    </row>
    <row r="828">
      <c r="E828" s="15"/>
      <c r="F828" s="17"/>
      <c r="G828" s="15"/>
      <c r="I828" s="15"/>
    </row>
    <row r="829">
      <c r="E829" s="15"/>
      <c r="F829" s="17"/>
      <c r="G829" s="15"/>
      <c r="I829" s="15"/>
    </row>
    <row r="830">
      <c r="E830" s="15"/>
      <c r="F830" s="17"/>
      <c r="G830" s="15"/>
      <c r="I830" s="15"/>
    </row>
    <row r="831">
      <c r="E831" s="15"/>
      <c r="F831" s="17"/>
      <c r="G831" s="15"/>
      <c r="I831" s="15"/>
    </row>
    <row r="832">
      <c r="E832" s="15"/>
      <c r="F832" s="17"/>
      <c r="G832" s="15"/>
      <c r="I832" s="15"/>
    </row>
    <row r="833">
      <c r="E833" s="15"/>
      <c r="F833" s="17"/>
      <c r="G833" s="15"/>
      <c r="I833" s="15"/>
    </row>
    <row r="834">
      <c r="E834" s="15"/>
      <c r="F834" s="17"/>
      <c r="G834" s="15"/>
      <c r="I834" s="15"/>
    </row>
    <row r="835">
      <c r="E835" s="15"/>
      <c r="F835" s="17"/>
      <c r="G835" s="15"/>
      <c r="I835" s="15"/>
    </row>
    <row r="836">
      <c r="E836" s="15"/>
      <c r="F836" s="17"/>
      <c r="G836" s="15"/>
      <c r="I836" s="15"/>
    </row>
    <row r="837">
      <c r="E837" s="15"/>
      <c r="F837" s="17"/>
      <c r="G837" s="15"/>
      <c r="I837" s="15"/>
    </row>
    <row r="838">
      <c r="E838" s="15"/>
      <c r="F838" s="17"/>
      <c r="G838" s="15"/>
      <c r="I838" s="15"/>
    </row>
    <row r="839">
      <c r="E839" s="15"/>
      <c r="F839" s="17"/>
      <c r="G839" s="15"/>
      <c r="I839" s="15"/>
    </row>
    <row r="840">
      <c r="E840" s="15"/>
      <c r="F840" s="17"/>
      <c r="G840" s="15"/>
      <c r="I840" s="15"/>
    </row>
    <row r="841">
      <c r="E841" s="15"/>
      <c r="F841" s="17"/>
      <c r="G841" s="15"/>
      <c r="I841" s="15"/>
    </row>
    <row r="842">
      <c r="E842" s="15"/>
      <c r="F842" s="17"/>
      <c r="G842" s="15"/>
      <c r="I842" s="15"/>
    </row>
    <row r="843">
      <c r="E843" s="15"/>
      <c r="F843" s="17"/>
      <c r="G843" s="15"/>
      <c r="I843" s="15"/>
    </row>
    <row r="844">
      <c r="E844" s="15"/>
      <c r="F844" s="17"/>
      <c r="G844" s="15"/>
      <c r="I844" s="15"/>
    </row>
    <row r="845">
      <c r="E845" s="15"/>
      <c r="F845" s="17"/>
      <c r="G845" s="15"/>
      <c r="I845" s="15"/>
    </row>
    <row r="846">
      <c r="E846" s="15"/>
      <c r="F846" s="17"/>
      <c r="G846" s="15"/>
      <c r="I846" s="15"/>
    </row>
    <row r="847">
      <c r="E847" s="15"/>
      <c r="F847" s="17"/>
      <c r="G847" s="15"/>
      <c r="I847" s="15"/>
    </row>
    <row r="848">
      <c r="E848" s="15"/>
      <c r="F848" s="17"/>
      <c r="G848" s="15"/>
      <c r="I848" s="15"/>
    </row>
    <row r="849">
      <c r="E849" s="15"/>
      <c r="F849" s="17"/>
      <c r="G849" s="15"/>
      <c r="I849" s="15"/>
    </row>
    <row r="850">
      <c r="E850" s="15"/>
      <c r="F850" s="17"/>
      <c r="G850" s="15"/>
      <c r="I850" s="15"/>
    </row>
    <row r="851">
      <c r="E851" s="15"/>
      <c r="F851" s="17"/>
      <c r="G851" s="15"/>
      <c r="I851" s="15"/>
    </row>
    <row r="852">
      <c r="E852" s="15"/>
      <c r="F852" s="17"/>
      <c r="G852" s="15"/>
      <c r="I852" s="15"/>
    </row>
    <row r="853">
      <c r="E853" s="15"/>
      <c r="F853" s="17"/>
      <c r="G853" s="15"/>
      <c r="I853" s="15"/>
    </row>
    <row r="854">
      <c r="E854" s="15"/>
      <c r="F854" s="17"/>
      <c r="G854" s="15"/>
      <c r="I854" s="15"/>
    </row>
    <row r="855">
      <c r="E855" s="15"/>
      <c r="F855" s="17"/>
      <c r="G855" s="15"/>
      <c r="I855" s="15"/>
    </row>
    <row r="856">
      <c r="E856" s="15"/>
      <c r="F856" s="17"/>
      <c r="G856" s="15"/>
      <c r="I856" s="15"/>
    </row>
    <row r="857">
      <c r="E857" s="15"/>
      <c r="F857" s="17"/>
      <c r="G857" s="15"/>
      <c r="I857" s="15"/>
    </row>
    <row r="858">
      <c r="E858" s="15"/>
      <c r="F858" s="17"/>
      <c r="G858" s="15"/>
      <c r="I858" s="15"/>
    </row>
    <row r="859">
      <c r="E859" s="15"/>
      <c r="F859" s="17"/>
      <c r="G859" s="15"/>
      <c r="I859" s="15"/>
    </row>
    <row r="860">
      <c r="E860" s="15"/>
      <c r="F860" s="17"/>
      <c r="G860" s="15"/>
      <c r="I860" s="15"/>
    </row>
    <row r="861">
      <c r="E861" s="15"/>
      <c r="F861" s="17"/>
      <c r="G861" s="15"/>
      <c r="I861" s="15"/>
    </row>
    <row r="862">
      <c r="E862" s="15"/>
      <c r="F862" s="17"/>
      <c r="G862" s="15"/>
      <c r="I862" s="15"/>
    </row>
    <row r="863">
      <c r="E863" s="15"/>
      <c r="F863" s="17"/>
      <c r="G863" s="15"/>
      <c r="I863" s="15"/>
    </row>
    <row r="864">
      <c r="E864" s="15"/>
      <c r="F864" s="17"/>
      <c r="G864" s="15"/>
      <c r="I864" s="15"/>
    </row>
    <row r="865">
      <c r="E865" s="15"/>
      <c r="F865" s="17"/>
      <c r="G865" s="15"/>
      <c r="I865" s="15"/>
    </row>
    <row r="866">
      <c r="E866" s="15"/>
      <c r="F866" s="17"/>
      <c r="G866" s="15"/>
      <c r="I866" s="15"/>
    </row>
    <row r="867">
      <c r="E867" s="15"/>
      <c r="F867" s="17"/>
      <c r="G867" s="15"/>
      <c r="I867" s="15"/>
    </row>
    <row r="868">
      <c r="E868" s="15"/>
      <c r="F868" s="17"/>
      <c r="G868" s="15"/>
      <c r="I868" s="15"/>
    </row>
    <row r="869">
      <c r="E869" s="15"/>
      <c r="F869" s="17"/>
      <c r="G869" s="15"/>
      <c r="I869" s="15"/>
    </row>
    <row r="870">
      <c r="E870" s="15"/>
      <c r="F870" s="17"/>
      <c r="G870" s="15"/>
      <c r="I870" s="15"/>
    </row>
    <row r="871">
      <c r="E871" s="15"/>
      <c r="F871" s="17"/>
      <c r="G871" s="15"/>
      <c r="I871" s="15"/>
    </row>
    <row r="872">
      <c r="E872" s="15"/>
      <c r="F872" s="17"/>
      <c r="G872" s="15"/>
      <c r="I872" s="15"/>
    </row>
    <row r="873">
      <c r="E873" s="15"/>
      <c r="F873" s="17"/>
      <c r="G873" s="15"/>
      <c r="I873" s="15"/>
    </row>
    <row r="874">
      <c r="E874" s="15"/>
      <c r="F874" s="17"/>
      <c r="G874" s="15"/>
      <c r="I874" s="15"/>
    </row>
    <row r="875">
      <c r="E875" s="15"/>
      <c r="F875" s="17"/>
      <c r="G875" s="15"/>
      <c r="I875" s="15"/>
    </row>
    <row r="876">
      <c r="E876" s="15"/>
      <c r="F876" s="17"/>
      <c r="G876" s="15"/>
      <c r="I876" s="15"/>
    </row>
    <row r="877">
      <c r="E877" s="15"/>
      <c r="F877" s="17"/>
      <c r="G877" s="15"/>
      <c r="I877" s="15"/>
    </row>
    <row r="878">
      <c r="E878" s="15"/>
      <c r="F878" s="17"/>
      <c r="G878" s="15"/>
      <c r="I878" s="15"/>
    </row>
    <row r="879">
      <c r="E879" s="15"/>
      <c r="F879" s="17"/>
      <c r="G879" s="15"/>
      <c r="I879" s="15"/>
    </row>
    <row r="880">
      <c r="E880" s="15"/>
      <c r="F880" s="17"/>
      <c r="G880" s="15"/>
      <c r="I880" s="15"/>
    </row>
    <row r="881">
      <c r="E881" s="15"/>
      <c r="F881" s="17"/>
      <c r="G881" s="15"/>
      <c r="I881" s="15"/>
    </row>
    <row r="882">
      <c r="E882" s="15"/>
      <c r="F882" s="17"/>
      <c r="G882" s="15"/>
      <c r="I882" s="15"/>
    </row>
    <row r="883">
      <c r="E883" s="15"/>
      <c r="F883" s="17"/>
      <c r="G883" s="15"/>
      <c r="I883" s="15"/>
    </row>
    <row r="884">
      <c r="E884" s="15"/>
      <c r="F884" s="17"/>
      <c r="G884" s="15"/>
      <c r="I884" s="15"/>
    </row>
    <row r="885">
      <c r="E885" s="15"/>
      <c r="F885" s="17"/>
      <c r="G885" s="15"/>
      <c r="I885" s="15"/>
    </row>
    <row r="886">
      <c r="E886" s="15"/>
      <c r="F886" s="17"/>
      <c r="G886" s="15"/>
      <c r="I886" s="15"/>
    </row>
    <row r="887">
      <c r="E887" s="15"/>
      <c r="F887" s="17"/>
      <c r="G887" s="15"/>
      <c r="I887" s="15"/>
    </row>
    <row r="888">
      <c r="E888" s="15"/>
      <c r="F888" s="17"/>
      <c r="G888" s="15"/>
      <c r="I888" s="15"/>
    </row>
    <row r="889">
      <c r="E889" s="15"/>
      <c r="F889" s="17"/>
      <c r="G889" s="15"/>
      <c r="I889" s="15"/>
    </row>
    <row r="890">
      <c r="E890" s="15"/>
      <c r="F890" s="17"/>
      <c r="G890" s="15"/>
      <c r="I890" s="15"/>
    </row>
    <row r="891">
      <c r="E891" s="15"/>
      <c r="F891" s="17"/>
      <c r="G891" s="15"/>
      <c r="I891" s="15"/>
    </row>
    <row r="892">
      <c r="E892" s="15"/>
      <c r="F892" s="17"/>
      <c r="G892" s="15"/>
      <c r="I892" s="15"/>
    </row>
    <row r="893">
      <c r="E893" s="15"/>
      <c r="F893" s="17"/>
      <c r="G893" s="15"/>
      <c r="I893" s="15"/>
    </row>
    <row r="894">
      <c r="E894" s="15"/>
      <c r="F894" s="17"/>
      <c r="G894" s="15"/>
      <c r="I894" s="15"/>
    </row>
    <row r="895">
      <c r="E895" s="15"/>
      <c r="F895" s="17"/>
      <c r="G895" s="15"/>
      <c r="I895" s="15"/>
    </row>
    <row r="896">
      <c r="E896" s="15"/>
      <c r="F896" s="17"/>
      <c r="G896" s="15"/>
      <c r="I896" s="15"/>
    </row>
    <row r="897">
      <c r="E897" s="15"/>
      <c r="F897" s="17"/>
      <c r="G897" s="15"/>
      <c r="I897" s="15"/>
    </row>
    <row r="898">
      <c r="E898" s="15"/>
      <c r="F898" s="17"/>
      <c r="G898" s="15"/>
      <c r="I898" s="15"/>
    </row>
    <row r="899">
      <c r="E899" s="15"/>
      <c r="F899" s="17"/>
      <c r="G899" s="15"/>
      <c r="I899" s="15"/>
    </row>
    <row r="900">
      <c r="E900" s="15"/>
      <c r="F900" s="17"/>
      <c r="G900" s="15"/>
      <c r="I900" s="15"/>
    </row>
    <row r="901">
      <c r="E901" s="15"/>
      <c r="F901" s="17"/>
      <c r="G901" s="15"/>
      <c r="I901" s="15"/>
    </row>
    <row r="902">
      <c r="E902" s="15"/>
      <c r="F902" s="17"/>
      <c r="G902" s="15"/>
      <c r="I902" s="15"/>
    </row>
    <row r="903">
      <c r="E903" s="15"/>
      <c r="F903" s="17"/>
      <c r="G903" s="15"/>
      <c r="I903" s="15"/>
    </row>
    <row r="904">
      <c r="E904" s="15"/>
      <c r="F904" s="17"/>
      <c r="G904" s="15"/>
      <c r="I904" s="15"/>
    </row>
    <row r="905">
      <c r="E905" s="15"/>
      <c r="F905" s="17"/>
      <c r="G905" s="15"/>
      <c r="I905" s="15"/>
    </row>
    <row r="906">
      <c r="E906" s="15"/>
      <c r="F906" s="17"/>
      <c r="G906" s="15"/>
      <c r="I906" s="15"/>
    </row>
    <row r="907">
      <c r="E907" s="15"/>
      <c r="F907" s="17"/>
      <c r="G907" s="15"/>
      <c r="I907" s="15"/>
    </row>
    <row r="908">
      <c r="E908" s="15"/>
      <c r="F908" s="17"/>
      <c r="G908" s="15"/>
      <c r="I908" s="15"/>
    </row>
    <row r="909">
      <c r="E909" s="15"/>
      <c r="F909" s="17"/>
      <c r="G909" s="15"/>
      <c r="I909" s="15"/>
    </row>
    <row r="910">
      <c r="E910" s="15"/>
      <c r="F910" s="17"/>
      <c r="G910" s="15"/>
      <c r="I910" s="15"/>
    </row>
    <row r="911">
      <c r="E911" s="15"/>
      <c r="F911" s="17"/>
      <c r="G911" s="15"/>
      <c r="I911" s="15"/>
    </row>
    <row r="912">
      <c r="E912" s="15"/>
      <c r="F912" s="17"/>
      <c r="G912" s="15"/>
      <c r="I912" s="15"/>
    </row>
    <row r="913">
      <c r="E913" s="15"/>
      <c r="F913" s="17"/>
      <c r="G913" s="15"/>
      <c r="I913" s="15"/>
    </row>
    <row r="914">
      <c r="E914" s="15"/>
      <c r="F914" s="17"/>
      <c r="G914" s="15"/>
      <c r="I914" s="15"/>
    </row>
    <row r="915">
      <c r="E915" s="15"/>
      <c r="F915" s="17"/>
      <c r="G915" s="15"/>
      <c r="I915" s="15"/>
    </row>
    <row r="916">
      <c r="E916" s="15"/>
      <c r="F916" s="17"/>
      <c r="G916" s="15"/>
      <c r="I916" s="15"/>
    </row>
    <row r="917">
      <c r="E917" s="15"/>
      <c r="F917" s="17"/>
      <c r="G917" s="15"/>
      <c r="I917" s="15"/>
    </row>
    <row r="918">
      <c r="E918" s="15"/>
      <c r="F918" s="17"/>
      <c r="G918" s="15"/>
      <c r="I918" s="15"/>
    </row>
    <row r="919">
      <c r="E919" s="15"/>
      <c r="F919" s="17"/>
      <c r="G919" s="15"/>
      <c r="I919" s="15"/>
    </row>
    <row r="920">
      <c r="E920" s="15"/>
      <c r="F920" s="17"/>
      <c r="G920" s="15"/>
      <c r="I920" s="15"/>
    </row>
    <row r="921">
      <c r="E921" s="15"/>
      <c r="F921" s="17"/>
      <c r="G921" s="15"/>
      <c r="I921" s="15"/>
    </row>
    <row r="922">
      <c r="E922" s="15"/>
      <c r="F922" s="17"/>
      <c r="G922" s="15"/>
      <c r="I922" s="15"/>
    </row>
    <row r="923">
      <c r="E923" s="15"/>
      <c r="F923" s="17"/>
      <c r="G923" s="15"/>
      <c r="I923" s="15"/>
    </row>
    <row r="924">
      <c r="E924" s="15"/>
      <c r="F924" s="17"/>
      <c r="G924" s="15"/>
      <c r="I924" s="15"/>
    </row>
    <row r="925">
      <c r="E925" s="15"/>
      <c r="F925" s="17"/>
      <c r="G925" s="15"/>
      <c r="I925" s="15"/>
    </row>
    <row r="926">
      <c r="E926" s="15"/>
      <c r="F926" s="17"/>
      <c r="G926" s="15"/>
      <c r="I926" s="15"/>
    </row>
    <row r="927">
      <c r="E927" s="15"/>
      <c r="F927" s="17"/>
      <c r="G927" s="15"/>
      <c r="I927" s="15"/>
    </row>
    <row r="928">
      <c r="E928" s="15"/>
      <c r="F928" s="17"/>
      <c r="G928" s="15"/>
      <c r="I928" s="15"/>
    </row>
    <row r="929">
      <c r="E929" s="15"/>
      <c r="F929" s="17"/>
      <c r="G929" s="15"/>
      <c r="I929" s="15"/>
    </row>
    <row r="930">
      <c r="E930" s="15"/>
      <c r="F930" s="17"/>
      <c r="G930" s="15"/>
      <c r="I930" s="15"/>
    </row>
    <row r="931">
      <c r="E931" s="15"/>
      <c r="F931" s="17"/>
      <c r="G931" s="15"/>
      <c r="I931" s="15"/>
    </row>
    <row r="932">
      <c r="E932" s="15"/>
      <c r="F932" s="17"/>
      <c r="G932" s="15"/>
      <c r="I932" s="15"/>
    </row>
    <row r="933">
      <c r="E933" s="15"/>
      <c r="F933" s="17"/>
      <c r="G933" s="15"/>
      <c r="I933" s="15"/>
    </row>
    <row r="934">
      <c r="E934" s="15"/>
      <c r="F934" s="17"/>
      <c r="G934" s="15"/>
      <c r="I934" s="15"/>
    </row>
    <row r="935">
      <c r="E935" s="15"/>
      <c r="F935" s="17"/>
      <c r="G935" s="15"/>
      <c r="I935" s="15"/>
    </row>
    <row r="936">
      <c r="E936" s="15"/>
      <c r="F936" s="17"/>
      <c r="G936" s="15"/>
      <c r="I936" s="15"/>
    </row>
    <row r="937">
      <c r="E937" s="15"/>
      <c r="F937" s="17"/>
      <c r="G937" s="15"/>
      <c r="I937" s="15"/>
    </row>
    <row r="938">
      <c r="E938" s="15"/>
      <c r="F938" s="17"/>
      <c r="G938" s="15"/>
      <c r="I938" s="15"/>
    </row>
    <row r="939">
      <c r="E939" s="15"/>
      <c r="F939" s="17"/>
      <c r="G939" s="15"/>
      <c r="I939" s="15"/>
    </row>
    <row r="940">
      <c r="E940" s="15"/>
      <c r="F940" s="17"/>
      <c r="G940" s="15"/>
      <c r="I940" s="15"/>
    </row>
    <row r="941">
      <c r="E941" s="15"/>
      <c r="F941" s="17"/>
      <c r="G941" s="15"/>
      <c r="I941" s="15"/>
    </row>
    <row r="942">
      <c r="E942" s="15"/>
      <c r="F942" s="17"/>
      <c r="G942" s="15"/>
      <c r="I942" s="15"/>
    </row>
    <row r="943">
      <c r="E943" s="15"/>
      <c r="F943" s="17"/>
      <c r="G943" s="15"/>
      <c r="I943" s="15"/>
    </row>
    <row r="944">
      <c r="E944" s="15"/>
      <c r="F944" s="17"/>
      <c r="G944" s="15"/>
      <c r="I944" s="15"/>
    </row>
    <row r="945">
      <c r="E945" s="15"/>
      <c r="F945" s="17"/>
      <c r="G945" s="15"/>
      <c r="I945" s="15"/>
    </row>
    <row r="946">
      <c r="E946" s="15"/>
      <c r="F946" s="17"/>
      <c r="G946" s="15"/>
      <c r="I946" s="15"/>
    </row>
    <row r="947">
      <c r="E947" s="15"/>
      <c r="F947" s="17"/>
      <c r="G947" s="15"/>
      <c r="I947" s="15"/>
    </row>
    <row r="948">
      <c r="E948" s="15"/>
      <c r="F948" s="17"/>
      <c r="G948" s="15"/>
      <c r="I948" s="15"/>
    </row>
    <row r="949">
      <c r="E949" s="15"/>
      <c r="F949" s="17"/>
      <c r="G949" s="15"/>
      <c r="I949" s="15"/>
    </row>
    <row r="950">
      <c r="E950" s="15"/>
      <c r="F950" s="17"/>
      <c r="G950" s="15"/>
      <c r="I950" s="15"/>
    </row>
    <row r="951">
      <c r="E951" s="15"/>
      <c r="F951" s="17"/>
      <c r="G951" s="15"/>
      <c r="I951" s="15"/>
    </row>
    <row r="952">
      <c r="E952" s="15"/>
      <c r="F952" s="17"/>
      <c r="G952" s="15"/>
      <c r="I952" s="15"/>
    </row>
    <row r="953">
      <c r="E953" s="15"/>
      <c r="F953" s="17"/>
      <c r="G953" s="15"/>
      <c r="I953" s="15"/>
    </row>
    <row r="954">
      <c r="E954" s="15"/>
      <c r="F954" s="17"/>
      <c r="G954" s="15"/>
      <c r="I954" s="15"/>
    </row>
    <row r="955">
      <c r="E955" s="15"/>
      <c r="F955" s="17"/>
      <c r="G955" s="15"/>
      <c r="I955" s="15"/>
    </row>
    <row r="956">
      <c r="E956" s="15"/>
      <c r="F956" s="17"/>
      <c r="G956" s="15"/>
      <c r="I956" s="15"/>
    </row>
    <row r="957">
      <c r="E957" s="15"/>
      <c r="F957" s="17"/>
      <c r="G957" s="15"/>
      <c r="I957" s="15"/>
    </row>
    <row r="958">
      <c r="E958" s="15"/>
      <c r="F958" s="17"/>
      <c r="G958" s="15"/>
      <c r="I958" s="15"/>
    </row>
    <row r="959">
      <c r="E959" s="15"/>
      <c r="F959" s="17"/>
      <c r="G959" s="15"/>
      <c r="I959" s="15"/>
    </row>
    <row r="960">
      <c r="E960" s="15"/>
      <c r="F960" s="17"/>
      <c r="G960" s="15"/>
      <c r="I960" s="15"/>
    </row>
    <row r="961">
      <c r="E961" s="15"/>
      <c r="F961" s="17"/>
      <c r="G961" s="15"/>
      <c r="I961" s="15"/>
    </row>
    <row r="962">
      <c r="E962" s="15"/>
      <c r="F962" s="17"/>
      <c r="G962" s="15"/>
      <c r="I962" s="15"/>
    </row>
    <row r="963">
      <c r="E963" s="15"/>
      <c r="F963" s="17"/>
      <c r="G963" s="15"/>
      <c r="I963" s="15"/>
    </row>
    <row r="964">
      <c r="E964" s="15"/>
      <c r="F964" s="17"/>
      <c r="G964" s="15"/>
      <c r="I964" s="15"/>
    </row>
    <row r="965">
      <c r="E965" s="15"/>
      <c r="F965" s="17"/>
      <c r="G965" s="15"/>
      <c r="I965" s="15"/>
    </row>
    <row r="966">
      <c r="E966" s="15"/>
      <c r="F966" s="17"/>
      <c r="G966" s="15"/>
      <c r="I966" s="15"/>
    </row>
    <row r="967">
      <c r="E967" s="15"/>
      <c r="F967" s="17"/>
      <c r="G967" s="15"/>
      <c r="I967" s="15"/>
    </row>
    <row r="968">
      <c r="E968" s="15"/>
      <c r="F968" s="17"/>
      <c r="G968" s="15"/>
      <c r="I968" s="15"/>
    </row>
    <row r="969">
      <c r="E969" s="15"/>
      <c r="F969" s="17"/>
      <c r="G969" s="15"/>
      <c r="I969" s="15"/>
    </row>
    <row r="970">
      <c r="E970" s="15"/>
      <c r="F970" s="17"/>
      <c r="G970" s="15"/>
      <c r="I970" s="15"/>
    </row>
    <row r="971">
      <c r="E971" s="15"/>
      <c r="F971" s="17"/>
      <c r="G971" s="15"/>
      <c r="I971" s="15"/>
    </row>
    <row r="972">
      <c r="E972" s="15"/>
      <c r="F972" s="17"/>
      <c r="G972" s="15"/>
      <c r="I972" s="15"/>
    </row>
    <row r="973">
      <c r="E973" s="15"/>
      <c r="F973" s="17"/>
      <c r="G973" s="15"/>
      <c r="I973" s="15"/>
    </row>
    <row r="974">
      <c r="E974" s="15"/>
      <c r="F974" s="17"/>
      <c r="G974" s="15"/>
      <c r="I974" s="15"/>
    </row>
    <row r="975">
      <c r="E975" s="15"/>
      <c r="F975" s="17"/>
      <c r="G975" s="15"/>
      <c r="I975" s="15"/>
    </row>
    <row r="976">
      <c r="E976" s="15"/>
      <c r="F976" s="17"/>
      <c r="G976" s="15"/>
      <c r="I976" s="15"/>
    </row>
    <row r="977">
      <c r="E977" s="15"/>
      <c r="F977" s="17"/>
      <c r="G977" s="15"/>
      <c r="I977" s="15"/>
    </row>
    <row r="978">
      <c r="E978" s="15"/>
      <c r="F978" s="17"/>
      <c r="G978" s="15"/>
      <c r="I978" s="15"/>
    </row>
    <row r="979">
      <c r="E979" s="15"/>
      <c r="F979" s="17"/>
      <c r="G979" s="15"/>
      <c r="I979" s="15"/>
    </row>
    <row r="980">
      <c r="E980" s="15"/>
      <c r="F980" s="17"/>
      <c r="G980" s="15"/>
      <c r="I980" s="15"/>
    </row>
    <row r="981">
      <c r="E981" s="15"/>
      <c r="F981" s="17"/>
      <c r="G981" s="15"/>
      <c r="I981" s="15"/>
    </row>
    <row r="982">
      <c r="E982" s="15"/>
      <c r="F982" s="17"/>
      <c r="G982" s="15"/>
      <c r="I982" s="15"/>
    </row>
    <row r="983">
      <c r="E983" s="15"/>
      <c r="F983" s="17"/>
      <c r="G983" s="15"/>
      <c r="I983" s="15"/>
    </row>
    <row r="984">
      <c r="E984" s="15"/>
      <c r="F984" s="17"/>
      <c r="G984" s="15"/>
      <c r="I984" s="15"/>
    </row>
    <row r="985">
      <c r="E985" s="15"/>
      <c r="F985" s="17"/>
      <c r="G985" s="15"/>
      <c r="I985" s="15"/>
    </row>
    <row r="986">
      <c r="E986" s="15"/>
      <c r="F986" s="17"/>
      <c r="G986" s="15"/>
      <c r="I986" s="15"/>
    </row>
    <row r="987">
      <c r="E987" s="15"/>
      <c r="F987" s="17"/>
      <c r="G987" s="15"/>
      <c r="I987" s="15"/>
    </row>
    <row r="988">
      <c r="E988" s="15"/>
      <c r="F988" s="17"/>
      <c r="G988" s="15"/>
      <c r="I988" s="15"/>
    </row>
    <row r="989">
      <c r="E989" s="15"/>
      <c r="F989" s="17"/>
      <c r="G989" s="15"/>
      <c r="I989" s="15"/>
    </row>
    <row r="990">
      <c r="E990" s="15"/>
      <c r="F990" s="17"/>
      <c r="G990" s="15"/>
      <c r="I990" s="15"/>
    </row>
    <row r="991">
      <c r="E991" s="15"/>
      <c r="F991" s="17"/>
      <c r="G991" s="15"/>
      <c r="I991" s="15"/>
    </row>
    <row r="992">
      <c r="E992" s="15"/>
      <c r="F992" s="17"/>
      <c r="G992" s="15"/>
      <c r="I992" s="15"/>
    </row>
    <row r="993">
      <c r="E993" s="15"/>
      <c r="F993" s="17"/>
      <c r="G993" s="15"/>
      <c r="I993" s="15"/>
    </row>
    <row r="994">
      <c r="E994" s="15"/>
      <c r="F994" s="17"/>
      <c r="G994" s="15"/>
      <c r="I994" s="15"/>
    </row>
    <row r="995">
      <c r="E995" s="15"/>
      <c r="F995" s="17"/>
      <c r="G995" s="15"/>
      <c r="I995" s="15"/>
    </row>
    <row r="996">
      <c r="E996" s="15"/>
      <c r="F996" s="17"/>
      <c r="G996" s="15"/>
      <c r="I996" s="15"/>
    </row>
    <row r="997">
      <c r="E997" s="15"/>
      <c r="F997" s="17"/>
      <c r="G997" s="15"/>
      <c r="I997" s="15"/>
    </row>
    <row r="998">
      <c r="E998" s="15"/>
      <c r="F998" s="17"/>
      <c r="G998" s="15"/>
      <c r="I998" s="15"/>
    </row>
    <row r="999">
      <c r="E999" s="15"/>
      <c r="F999" s="17"/>
      <c r="G999" s="15"/>
      <c r="I999" s="15"/>
    </row>
    <row r="1000">
      <c r="E1000" s="15"/>
      <c r="F1000" s="17"/>
      <c r="G1000" s="15"/>
      <c r="I1000" s="15"/>
    </row>
  </sheetData>
  <conditionalFormatting sqref="A2:J1000">
    <cfRule type="expression" dxfId="0" priority="1" stopIfTrue="1">
      <formula>$H2=TRUE</formula>
    </cfRule>
  </conditionalFormatting>
  <dataValidations>
    <dataValidation type="list" allowBlank="1" sqref="G2:G1000">
      <formula1>"TOP,SEMITOP,TERZO-SLOT,QUARTO-SLOT,SCOMMESSE,TITOLARI,ALTRI"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2.13"/>
    <col customWidth="1" min="3" max="3" width="13.75"/>
    <col customWidth="1" min="4" max="4" width="8.13"/>
    <col customWidth="1" min="5" max="5" width="4.63"/>
    <col customWidth="1" min="6" max="6" width="8.5"/>
    <col customWidth="1" min="7" max="7" width="17.88"/>
    <col customWidth="1" min="8" max="8" width="13.88"/>
    <col customWidth="1" min="9" max="9" width="14.25"/>
    <col customWidth="1" min="10" max="10" width="4.75"/>
  </cols>
  <sheetData>
    <row r="1">
      <c r="A1" s="20" t="str">
        <f>IFERROR(__xludf.DUMMYFUNCTION("QUERY(LISTONE!A2:I1000, ""SELECT A, B, C, D, E, F, G, H WHERE B = 'C' ORDER BY I ASC, E DESC"", 1)"),"Id")</f>
        <v>Id</v>
      </c>
      <c r="B1" s="20" t="str">
        <f>IFERROR(__xludf.DUMMYFUNCTION("""COMPUTED_VALUE"""),"R")</f>
        <v>R</v>
      </c>
      <c r="C1" s="20" t="str">
        <f>IFERROR(__xludf.DUMMYFUNCTION("""COMPUTED_VALUE"""),"Nome")</f>
        <v>Nome</v>
      </c>
      <c r="D1" s="20" t="str">
        <f>IFERROR(__xludf.DUMMYFUNCTION("""COMPUTED_VALUE"""),"Squadra")</f>
        <v>Squadra</v>
      </c>
      <c r="E1" s="20" t="str">
        <f>IFERROR(__xludf.DUMMYFUNCTION("""COMPUTED_VALUE"""),"FVM")</f>
        <v>FVM</v>
      </c>
      <c r="F1" s="20" t="str">
        <f>IFERROR(__xludf.DUMMYFUNCTION("""COMPUTED_VALUE"""),"% Budget")</f>
        <v>% Budget</v>
      </c>
      <c r="G1" s="23" t="str">
        <f>IFERROR(__xludf.DUMMYFUNCTION("""COMPUTED_VALUE"""),"Fascia")</f>
        <v>Fascia</v>
      </c>
      <c r="H1" s="23" t="str">
        <f>IFERROR(__xludf.DUMMYFUNCTION("""COMPUTED_VALUE"""),"⭐ Preferito")</f>
        <v>⭐ Preferito</v>
      </c>
      <c r="I1" s="23" t="s">
        <v>8</v>
      </c>
      <c r="J1" s="23" t="s">
        <v>9</v>
      </c>
    </row>
    <row r="2">
      <c r="A2" s="11">
        <f>IFERROR(__xludf.DUMMYFUNCTION("""COMPUTED_VALUE"""),6875.0)</f>
        <v>6875</v>
      </c>
      <c r="B2" s="11" t="str">
        <f>IFERROR(__xludf.DUMMYFUNCTION("""COMPUTED_VALUE"""),"C")</f>
        <v>C</v>
      </c>
      <c r="C2" s="13" t="str">
        <f>IFERROR(__xludf.DUMMYFUNCTION("""COMPUTED_VALUE"""),"Paz N.")</f>
        <v>Paz N.</v>
      </c>
      <c r="D2" s="11" t="str">
        <f>IFERROR(__xludf.DUMMYFUNCTION("""COMPUTED_VALUE"""),"Como")</f>
        <v>Como</v>
      </c>
      <c r="E2" s="15">
        <f>IFERROR(__xludf.DUMMYFUNCTION("""COMPUTED_VALUE"""),120.0)</f>
        <v>120</v>
      </c>
      <c r="F2" s="17">
        <f>IFERROR(__xludf.DUMMYFUNCTION("""COMPUTED_VALUE"""),0.2)</f>
        <v>0.2</v>
      </c>
      <c r="G2" s="15" t="str">
        <f>IFERROR(__xludf.DUMMYFUNCTION("""COMPUTED_VALUE"""),"TOP")</f>
        <v>TOP</v>
      </c>
      <c r="H2" s="11" t="str">
        <f>IFERROR(__xludf.DUMMYFUNCTION("""COMPUTED_VALUE"""),"⭐")</f>
        <v>⭐</v>
      </c>
      <c r="I2" s="15"/>
      <c r="K2" s="21">
        <v>110.0</v>
      </c>
    </row>
    <row r="3">
      <c r="A3" s="11">
        <f>IFERROR(__xludf.DUMMYFUNCTION("""COMPUTED_VALUE"""),2194.0)</f>
        <v>2194</v>
      </c>
      <c r="B3" s="11" t="str">
        <f>IFERROR(__xludf.DUMMYFUNCTION("""COMPUTED_VALUE"""),"C")</f>
        <v>C</v>
      </c>
      <c r="C3" s="13" t="str">
        <f>IFERROR(__xludf.DUMMYFUNCTION("""COMPUTED_VALUE"""),"Calhanoglu")</f>
        <v>Calhanoglu</v>
      </c>
      <c r="D3" s="11" t="str">
        <f>IFERROR(__xludf.DUMMYFUNCTION("""COMPUTED_VALUE"""),"Inter")</f>
        <v>Inter</v>
      </c>
      <c r="E3" s="15">
        <f>IFERROR(__xludf.DUMMYFUNCTION("""COMPUTED_VALUE"""),90.0)</f>
        <v>90</v>
      </c>
      <c r="F3" s="17">
        <f>IFERROR(__xludf.DUMMYFUNCTION("""COMPUTED_VALUE"""),0.15)</f>
        <v>0.15</v>
      </c>
      <c r="G3" s="15" t="str">
        <f>IFERROR(__xludf.DUMMYFUNCTION("""COMPUTED_VALUE"""),"TOP")</f>
        <v>TOP</v>
      </c>
      <c r="H3" s="11"/>
      <c r="I3" s="15"/>
    </row>
    <row r="4">
      <c r="A4" s="11">
        <f>IFERROR(__xludf.DUMMYFUNCTION("""COMPUTED_VALUE"""),4777.0)</f>
        <v>4777</v>
      </c>
      <c r="B4" s="11" t="str">
        <f>IFERROR(__xludf.DUMMYFUNCTION("""COMPUTED_VALUE"""),"C")</f>
        <v>C</v>
      </c>
      <c r="C4" s="13" t="str">
        <f>IFERROR(__xludf.DUMMYFUNCTION("""COMPUTED_VALUE"""),"McTominay")</f>
        <v>McTominay</v>
      </c>
      <c r="D4" s="11" t="str">
        <f>IFERROR(__xludf.DUMMYFUNCTION("""COMPUTED_VALUE"""),"Napoli")</f>
        <v>Napoli</v>
      </c>
      <c r="E4" s="15">
        <f>IFERROR(__xludf.DUMMYFUNCTION("""COMPUTED_VALUE"""),60.0)</f>
        <v>60</v>
      </c>
      <c r="F4" s="17">
        <f>IFERROR(__xludf.DUMMYFUNCTION("""COMPUTED_VALUE"""),0.1)</f>
        <v>0.1</v>
      </c>
      <c r="G4" s="15" t="str">
        <f>IFERROR(__xludf.DUMMYFUNCTION("""COMPUTED_VALUE"""),"SEMITOP")</f>
        <v>SEMITOP</v>
      </c>
      <c r="H4" s="11"/>
      <c r="I4" s="15"/>
    </row>
    <row r="5">
      <c r="A5" s="11">
        <f>IFERROR(__xludf.DUMMYFUNCTION("""COMPUTED_VALUE"""),2167.0)</f>
        <v>2167</v>
      </c>
      <c r="B5" s="11" t="str">
        <f>IFERROR(__xludf.DUMMYFUNCTION("""COMPUTED_VALUE"""),"C")</f>
        <v>C</v>
      </c>
      <c r="C5" s="13" t="str">
        <f>IFERROR(__xludf.DUMMYFUNCTION("""COMPUTED_VALUE"""),"Orsolini")</f>
        <v>Orsolini</v>
      </c>
      <c r="D5" s="11" t="str">
        <f>IFERROR(__xludf.DUMMYFUNCTION("""COMPUTED_VALUE"""),"Bologna")</f>
        <v>Bologna</v>
      </c>
      <c r="E5" s="15">
        <f>IFERROR(__xludf.DUMMYFUNCTION("""COMPUTED_VALUE"""),60.0)</f>
        <v>60</v>
      </c>
      <c r="F5" s="17">
        <f>IFERROR(__xludf.DUMMYFUNCTION("""COMPUTED_VALUE"""),0.1)</f>
        <v>0.1</v>
      </c>
      <c r="G5" s="15" t="str">
        <f>IFERROR(__xludf.DUMMYFUNCTION("""COMPUTED_VALUE"""),"SEMITOP")</f>
        <v>SEMITOP</v>
      </c>
      <c r="H5" s="11"/>
      <c r="I5" s="15"/>
    </row>
    <row r="6">
      <c r="A6" s="11">
        <f>IFERROR(__xludf.DUMMYFUNCTION("""COMPUTED_VALUE"""),2423.0)</f>
        <v>2423</v>
      </c>
      <c r="B6" s="11" t="str">
        <f>IFERROR(__xludf.DUMMYFUNCTION("""COMPUTED_VALUE"""),"C")</f>
        <v>C</v>
      </c>
      <c r="C6" s="13" t="str">
        <f>IFERROR(__xludf.DUMMYFUNCTION("""COMPUTED_VALUE"""),"Pulisic")</f>
        <v>Pulisic</v>
      </c>
      <c r="D6" s="11" t="str">
        <f>IFERROR(__xludf.DUMMYFUNCTION("""COMPUTED_VALUE"""),"Milan")</f>
        <v>Milan</v>
      </c>
      <c r="E6" s="15">
        <f>IFERROR(__xludf.DUMMYFUNCTION("""COMPUTED_VALUE"""),60.0)</f>
        <v>60</v>
      </c>
      <c r="F6" s="17">
        <f>IFERROR(__xludf.DUMMYFUNCTION("""COMPUTED_VALUE"""),0.1)</f>
        <v>0.1</v>
      </c>
      <c r="G6" s="15" t="str">
        <f>IFERROR(__xludf.DUMMYFUNCTION("""COMPUTED_VALUE"""),"SEMITOP")</f>
        <v>SEMITOP</v>
      </c>
      <c r="H6" s="11"/>
      <c r="I6" s="15"/>
      <c r="K6" s="21">
        <v>70.0</v>
      </c>
    </row>
    <row r="7">
      <c r="A7" s="11">
        <f>IFERROR(__xludf.DUMMYFUNCTION("""COMPUTED_VALUE"""),7126.0)</f>
        <v>7126</v>
      </c>
      <c r="B7" s="11" t="str">
        <f>IFERROR(__xludf.DUMMYFUNCTION("""COMPUTED_VALUE"""),"C")</f>
        <v>C</v>
      </c>
      <c r="C7" s="13" t="str">
        <f>IFERROR(__xludf.DUMMYFUNCTION("""COMPUTED_VALUE"""),"Baturina")</f>
        <v>Baturina</v>
      </c>
      <c r="D7" s="11" t="str">
        <f>IFERROR(__xludf.DUMMYFUNCTION("""COMPUTED_VALUE"""),"Como")</f>
        <v>Como</v>
      </c>
      <c r="E7" s="15">
        <f>IFERROR(__xludf.DUMMYFUNCTION("""COMPUTED_VALUE"""),60.0)</f>
        <v>60</v>
      </c>
      <c r="F7" s="17">
        <f>IFERROR(__xludf.DUMMYFUNCTION("""COMPUTED_VALUE"""),0.1)</f>
        <v>0.1</v>
      </c>
      <c r="G7" s="15" t="str">
        <f>IFERROR(__xludf.DUMMYFUNCTION("""COMPUTED_VALUE"""),"SEMITOP")</f>
        <v>SEMITOP</v>
      </c>
      <c r="H7" s="11"/>
      <c r="I7" s="15"/>
    </row>
    <row r="8">
      <c r="A8" s="11">
        <f>IFERROR(__xludf.DUMMYFUNCTION("""COMPUTED_VALUE"""),7556.0)</f>
        <v>7556</v>
      </c>
      <c r="B8" s="11" t="str">
        <f>IFERROR(__xludf.DUMMYFUNCTION("""COMPUTED_VALUE"""),"C")</f>
        <v>C</v>
      </c>
      <c r="C8" s="13" t="str">
        <f>IFERROR(__xludf.DUMMYFUNCTION("""COMPUTED_VALUE"""),"Mora")</f>
        <v>Mora</v>
      </c>
      <c r="D8" s="11" t="str">
        <f>IFERROR(__xludf.DUMMYFUNCTION("""COMPUTED_VALUE"""),"Roma")</f>
        <v>Roma</v>
      </c>
      <c r="E8" s="15">
        <f>IFERROR(__xludf.DUMMYFUNCTION("""COMPUTED_VALUE"""),60.0)</f>
        <v>60</v>
      </c>
      <c r="F8" s="17">
        <f>IFERROR(__xludf.DUMMYFUNCTION("""COMPUTED_VALUE"""),0.1)</f>
        <v>0.1</v>
      </c>
      <c r="G8" s="15" t="str">
        <f>IFERROR(__xludf.DUMMYFUNCTION("""COMPUTED_VALUE"""),"SEMITOP")</f>
        <v>SEMITOP</v>
      </c>
      <c r="H8" s="11" t="str">
        <f>IFERROR(__xludf.DUMMYFUNCTION("""COMPUTED_VALUE"""),"⭐")</f>
        <v>⭐</v>
      </c>
      <c r="I8" s="15"/>
    </row>
    <row r="9">
      <c r="A9" s="11">
        <f>IFERROR(__xludf.DUMMYFUNCTION("""COMPUTED_VALUE"""),2379.0)</f>
        <v>2379</v>
      </c>
      <c r="B9" s="11" t="str">
        <f>IFERROR(__xludf.DUMMYFUNCTION("""COMPUTED_VALUE"""),"C")</f>
        <v>C</v>
      </c>
      <c r="C9" s="13" t="str">
        <f>IFERROR(__xludf.DUMMYFUNCTION("""COMPUTED_VALUE"""),"Rabiot")</f>
        <v>Rabiot</v>
      </c>
      <c r="D9" s="11" t="str">
        <f>IFERROR(__xludf.DUMMYFUNCTION("""COMPUTED_VALUE"""),"Milan")</f>
        <v>Milan</v>
      </c>
      <c r="E9" s="15">
        <f>IFERROR(__xludf.DUMMYFUNCTION("""COMPUTED_VALUE"""),48.0)</f>
        <v>48</v>
      </c>
      <c r="F9" s="17">
        <f>IFERROR(__xludf.DUMMYFUNCTION("""COMPUTED_VALUE"""),0.08)</f>
        <v>0.08</v>
      </c>
      <c r="G9" s="15" t="str">
        <f>IFERROR(__xludf.DUMMYFUNCTION("""COMPUTED_VALUE"""),"TERZO-SLOT")</f>
        <v>TERZO-SLOT</v>
      </c>
      <c r="H9" s="11"/>
      <c r="I9" s="15"/>
    </row>
    <row r="10">
      <c r="A10" s="11">
        <f>IFERROR(__xludf.DUMMYFUNCTION("""COMPUTED_VALUE"""),2517.0)</f>
        <v>2517</v>
      </c>
      <c r="B10" s="11" t="str">
        <f>IFERROR(__xludf.DUMMYFUNCTION("""COMPUTED_VALUE"""),"C")</f>
        <v>C</v>
      </c>
      <c r="C10" s="13" t="str">
        <f>IFERROR(__xludf.DUMMYFUNCTION("""COMPUTED_VALUE"""),"De Bruyne")</f>
        <v>De Bruyne</v>
      </c>
      <c r="D10" s="11" t="str">
        <f>IFERROR(__xludf.DUMMYFUNCTION("""COMPUTED_VALUE"""),"Napoli")</f>
        <v>Napoli</v>
      </c>
      <c r="E10" s="15">
        <f>IFERROR(__xludf.DUMMYFUNCTION("""COMPUTED_VALUE"""),48.0)</f>
        <v>48</v>
      </c>
      <c r="F10" s="17">
        <f>IFERROR(__xludf.DUMMYFUNCTION("""COMPUTED_VALUE"""),0.08)</f>
        <v>0.08</v>
      </c>
      <c r="G10" s="15" t="str">
        <f>IFERROR(__xludf.DUMMYFUNCTION("""COMPUTED_VALUE"""),"TERZO-SLOT")</f>
        <v>TERZO-SLOT</v>
      </c>
      <c r="H10" s="11"/>
      <c r="I10" s="15"/>
    </row>
    <row r="11">
      <c r="A11" s="11">
        <f>IFERROR(__xludf.DUMMYFUNCTION("""COMPUTED_VALUE"""),2848.0)</f>
        <v>2848</v>
      </c>
      <c r="B11" s="11" t="str">
        <f>IFERROR(__xludf.DUMMYFUNCTION("""COMPUTED_VALUE"""),"C")</f>
        <v>C</v>
      </c>
      <c r="C11" s="13" t="str">
        <f>IFERROR(__xludf.DUMMYFUNCTION("""COMPUTED_VALUE"""),"Frattesi")</f>
        <v>Frattesi</v>
      </c>
      <c r="D11" s="11" t="str">
        <f>IFERROR(__xludf.DUMMYFUNCTION("""COMPUTED_VALUE"""),"Lazio")</f>
        <v>Lazio</v>
      </c>
      <c r="E11" s="15">
        <f>IFERROR(__xludf.DUMMYFUNCTION("""COMPUTED_VALUE"""),45.0)</f>
        <v>45</v>
      </c>
      <c r="F11" s="17">
        <f>IFERROR(__xludf.DUMMYFUNCTION("""COMPUTED_VALUE"""),0.075)</f>
        <v>0.075</v>
      </c>
      <c r="G11" s="15" t="str">
        <f>IFERROR(__xludf.DUMMYFUNCTION("""COMPUTED_VALUE"""),"TERZO-SLOT")</f>
        <v>TERZO-SLOT</v>
      </c>
      <c r="H11" s="11"/>
      <c r="I11" s="15"/>
    </row>
    <row r="12">
      <c r="A12" s="11">
        <f>IFERROR(__xludf.DUMMYFUNCTION("""COMPUTED_VALUE"""),5559.0)</f>
        <v>5559</v>
      </c>
      <c r="B12" s="11" t="str">
        <f>IFERROR(__xludf.DUMMYFUNCTION("""COMPUTED_VALUE"""),"C")</f>
        <v>C</v>
      </c>
      <c r="C12" s="13" t="str">
        <f>IFERROR(__xludf.DUMMYFUNCTION("""COMPUTED_VALUE"""),"Da Cunha")</f>
        <v>Da Cunha</v>
      </c>
      <c r="D12" s="11" t="str">
        <f>IFERROR(__xludf.DUMMYFUNCTION("""COMPUTED_VALUE"""),"Como")</f>
        <v>Como</v>
      </c>
      <c r="E12" s="15">
        <f>IFERROR(__xludf.DUMMYFUNCTION("""COMPUTED_VALUE"""),42.0)</f>
        <v>42</v>
      </c>
      <c r="F12" s="17">
        <f>IFERROR(__xludf.DUMMYFUNCTION("""COMPUTED_VALUE"""),0.07)</f>
        <v>0.07</v>
      </c>
      <c r="G12" s="15" t="str">
        <f>IFERROR(__xludf.DUMMYFUNCTION("""COMPUTED_VALUE"""),"TERZO-SLOT")</f>
        <v>TERZO-SLOT</v>
      </c>
      <c r="H12" s="11"/>
      <c r="I12" s="15"/>
    </row>
    <row r="13">
      <c r="A13" s="11">
        <f>IFERROR(__xludf.DUMMYFUNCTION("""COMPUTED_VALUE"""),2766.0)</f>
        <v>2766</v>
      </c>
      <c r="B13" s="11" t="str">
        <f>IFERROR(__xludf.DUMMYFUNCTION("""COMPUTED_VALUE"""),"C")</f>
        <v>C</v>
      </c>
      <c r="C13" s="13" t="str">
        <f>IFERROR(__xludf.DUMMYFUNCTION("""COMPUTED_VALUE"""),"Zaniolo")</f>
        <v>Zaniolo</v>
      </c>
      <c r="D13" s="11" t="str">
        <f>IFERROR(__xludf.DUMMYFUNCTION("""COMPUTED_VALUE"""),"Udinese")</f>
        <v>Udinese</v>
      </c>
      <c r="E13" s="15">
        <f>IFERROR(__xludf.DUMMYFUNCTION("""COMPUTED_VALUE"""),42.0)</f>
        <v>42</v>
      </c>
      <c r="F13" s="17">
        <f>IFERROR(__xludf.DUMMYFUNCTION("""COMPUTED_VALUE"""),0.07)</f>
        <v>0.07</v>
      </c>
      <c r="G13" s="15" t="str">
        <f>IFERROR(__xludf.DUMMYFUNCTION("""COMPUTED_VALUE"""),"TERZO-SLOT")</f>
        <v>TERZO-SLOT</v>
      </c>
      <c r="H13" s="11"/>
      <c r="I13" s="15"/>
    </row>
    <row r="14">
      <c r="A14" s="11">
        <f>IFERROR(__xludf.DUMMYFUNCTION("""COMPUTED_VALUE"""),6908.0)</f>
        <v>6908</v>
      </c>
      <c r="B14" s="11" t="str">
        <f>IFERROR(__xludf.DUMMYFUNCTION("""COMPUTED_VALUE"""),"C")</f>
        <v>C</v>
      </c>
      <c r="C14" s="13" t="str">
        <f>IFERROR(__xludf.DUMMYFUNCTION("""COMPUTED_VALUE"""),"Atta")</f>
        <v>Atta</v>
      </c>
      <c r="D14" s="11" t="str">
        <f>IFERROR(__xludf.DUMMYFUNCTION("""COMPUTED_VALUE"""),"Fiorentina")</f>
        <v>Fiorentina</v>
      </c>
      <c r="E14" s="15">
        <f>IFERROR(__xludf.DUMMYFUNCTION("""COMPUTED_VALUE"""),42.0)</f>
        <v>42</v>
      </c>
      <c r="F14" s="17">
        <f>IFERROR(__xludf.DUMMYFUNCTION("""COMPUTED_VALUE"""),0.07)</f>
        <v>0.07</v>
      </c>
      <c r="G14" s="15" t="str">
        <f>IFERROR(__xludf.DUMMYFUNCTION("""COMPUTED_VALUE"""),"TERZO-SLOT")</f>
        <v>TERZO-SLOT</v>
      </c>
      <c r="H14" s="11" t="str">
        <f>IFERROR(__xludf.DUMMYFUNCTION("""COMPUTED_VALUE"""),"⭐")</f>
        <v>⭐</v>
      </c>
      <c r="I14" s="15"/>
    </row>
    <row r="15">
      <c r="A15" s="11">
        <f>IFERROR(__xludf.DUMMYFUNCTION("""COMPUTED_VALUE"""),6884.0)</f>
        <v>6884</v>
      </c>
      <c r="B15" s="11" t="str">
        <f>IFERROR(__xludf.DUMMYFUNCTION("""COMPUTED_VALUE"""),"C")</f>
        <v>C</v>
      </c>
      <c r="C15" s="13" t="str">
        <f>IFERROR(__xludf.DUMMYFUNCTION("""COMPUTED_VALUE"""),"Conceicao")</f>
        <v>Conceicao</v>
      </c>
      <c r="D15" s="11" t="str">
        <f>IFERROR(__xludf.DUMMYFUNCTION("""COMPUTED_VALUE"""),"Juventus")</f>
        <v>Juventus</v>
      </c>
      <c r="E15" s="15">
        <f>IFERROR(__xludf.DUMMYFUNCTION("""COMPUTED_VALUE"""),33.0)</f>
        <v>33</v>
      </c>
      <c r="F15" s="17">
        <f>IFERROR(__xludf.DUMMYFUNCTION("""COMPUTED_VALUE"""),0.055)</f>
        <v>0.055</v>
      </c>
      <c r="G15" s="15" t="str">
        <f>IFERROR(__xludf.DUMMYFUNCTION("""COMPUTED_VALUE"""),"TERZO-SLOT")</f>
        <v>TERZO-SLOT</v>
      </c>
      <c r="H15" s="11"/>
      <c r="I15" s="15"/>
    </row>
    <row r="16">
      <c r="A16" s="11">
        <f>IFERROR(__xludf.DUMMYFUNCTION("""COMPUTED_VALUE"""),7314.0)</f>
        <v>7314</v>
      </c>
      <c r="B16" s="11" t="str">
        <f>IFERROR(__xludf.DUMMYFUNCTION("""COMPUTED_VALUE"""),"C")</f>
        <v>C</v>
      </c>
      <c r="C16" s="13" t="str">
        <f>IFERROR(__xludf.DUMMYFUNCTION("""COMPUTED_VALUE"""),"Taylor K.")</f>
        <v>Taylor K.</v>
      </c>
      <c r="D16" s="11" t="str">
        <f>IFERROR(__xludf.DUMMYFUNCTION("""COMPUTED_VALUE"""),"Lazio")</f>
        <v>Lazio</v>
      </c>
      <c r="E16" s="15">
        <f>IFERROR(__xludf.DUMMYFUNCTION("""COMPUTED_VALUE"""),24.0)</f>
        <v>24</v>
      </c>
      <c r="F16" s="17">
        <f>IFERROR(__xludf.DUMMYFUNCTION("""COMPUTED_VALUE"""),0.04)</f>
        <v>0.04</v>
      </c>
      <c r="G16" s="15" t="str">
        <f>IFERROR(__xludf.DUMMYFUNCTION("""COMPUTED_VALUE"""),"TERZO-SLOT")</f>
        <v>TERZO-SLOT</v>
      </c>
      <c r="H16" s="11"/>
      <c r="I16" s="15"/>
    </row>
    <row r="17">
      <c r="A17" s="11">
        <f>IFERROR(__xludf.DUMMYFUNCTION("""COMPUTED_VALUE"""),1870.0)</f>
        <v>1870</v>
      </c>
      <c r="B17" s="11" t="str">
        <f>IFERROR(__xludf.DUMMYFUNCTION("""COMPUTED_VALUE"""),"C")</f>
        <v>C</v>
      </c>
      <c r="C17" s="13" t="str">
        <f>IFERROR(__xludf.DUMMYFUNCTION("""COMPUTED_VALUE"""),"Barella")</f>
        <v>Barella</v>
      </c>
      <c r="D17" s="11" t="str">
        <f>IFERROR(__xludf.DUMMYFUNCTION("""COMPUTED_VALUE"""),"Inter")</f>
        <v>Inter</v>
      </c>
      <c r="E17" s="15">
        <f>IFERROR(__xludf.DUMMYFUNCTION("""COMPUTED_VALUE"""),36.0)</f>
        <v>36</v>
      </c>
      <c r="F17" s="17">
        <f>IFERROR(__xludf.DUMMYFUNCTION("""COMPUTED_VALUE"""),0.06)</f>
        <v>0.06</v>
      </c>
      <c r="G17" s="15" t="str">
        <f>IFERROR(__xludf.DUMMYFUNCTION("""COMPUTED_VALUE"""),"QUARTO-SLOT")</f>
        <v>QUARTO-SLOT</v>
      </c>
      <c r="H17" s="11"/>
      <c r="I17" s="15"/>
    </row>
    <row r="18">
      <c r="A18" s="11">
        <f>IFERROR(__xludf.DUMMYFUNCTION("""COMPUTED_VALUE"""),632.0)</f>
        <v>632</v>
      </c>
      <c r="B18" s="11" t="str">
        <f>IFERROR(__xludf.DUMMYFUNCTION("""COMPUTED_VALUE"""),"C")</f>
        <v>C</v>
      </c>
      <c r="C18" s="13" t="str">
        <f>IFERROR(__xludf.DUMMYFUNCTION("""COMPUTED_VALUE"""),"Zaccagni")</f>
        <v>Zaccagni</v>
      </c>
      <c r="D18" s="11" t="str">
        <f>IFERROR(__xludf.DUMMYFUNCTION("""COMPUTED_VALUE"""),"Lazio")</f>
        <v>Lazio</v>
      </c>
      <c r="E18" s="15">
        <f>IFERROR(__xludf.DUMMYFUNCTION("""COMPUTED_VALUE"""),36.0)</f>
        <v>36</v>
      </c>
      <c r="F18" s="17">
        <f>IFERROR(__xludf.DUMMYFUNCTION("""COMPUTED_VALUE"""),0.06)</f>
        <v>0.06</v>
      </c>
      <c r="G18" s="15" t="str">
        <f>IFERROR(__xludf.DUMMYFUNCTION("""COMPUTED_VALUE"""),"QUARTO-SLOT")</f>
        <v>QUARTO-SLOT</v>
      </c>
      <c r="H18" s="11"/>
      <c r="I18" s="15"/>
    </row>
    <row r="19">
      <c r="A19" s="11">
        <f>IFERROR(__xludf.DUMMYFUNCTION("""COMPUTED_VALUE"""),5687.0)</f>
        <v>5687</v>
      </c>
      <c r="B19" s="11" t="str">
        <f>IFERROR(__xludf.DUMMYFUNCTION("""COMPUTED_VALUE"""),"C")</f>
        <v>C</v>
      </c>
      <c r="C19" s="13" t="str">
        <f>IFERROR(__xludf.DUMMYFUNCTION("""COMPUTED_VALUE"""),"Vlasic")</f>
        <v>Vlasic</v>
      </c>
      <c r="D19" s="11" t="str">
        <f>IFERROR(__xludf.DUMMYFUNCTION("""COMPUTED_VALUE"""),"Torino")</f>
        <v>Torino</v>
      </c>
      <c r="E19" s="15">
        <f>IFERROR(__xludf.DUMMYFUNCTION("""COMPUTED_VALUE"""),30.0)</f>
        <v>30</v>
      </c>
      <c r="F19" s="17">
        <f>IFERROR(__xludf.DUMMYFUNCTION("""COMPUTED_VALUE"""),0.05)</f>
        <v>0.05</v>
      </c>
      <c r="G19" s="15" t="str">
        <f>IFERROR(__xludf.DUMMYFUNCTION("""COMPUTED_VALUE"""),"QUARTO-SLOT")</f>
        <v>QUARTO-SLOT</v>
      </c>
      <c r="H19" s="11"/>
      <c r="I19" s="15"/>
    </row>
    <row r="20">
      <c r="A20" s="11">
        <f>IFERROR(__xludf.DUMMYFUNCTION("""COMPUTED_VALUE"""),152.0)</f>
        <v>152</v>
      </c>
      <c r="B20" s="11" t="str">
        <f>IFERROR(__xludf.DUMMYFUNCTION("""COMPUTED_VALUE"""),"C")</f>
        <v>C</v>
      </c>
      <c r="C20" s="13" t="str">
        <f>IFERROR(__xludf.DUMMYFUNCTION("""COMPUTED_VALUE"""),"Zielinski")</f>
        <v>Zielinski</v>
      </c>
      <c r="D20" s="11" t="str">
        <f>IFERROR(__xludf.DUMMYFUNCTION("""COMPUTED_VALUE"""),"Inter")</f>
        <v>Inter</v>
      </c>
      <c r="E20" s="15">
        <f>IFERROR(__xludf.DUMMYFUNCTION("""COMPUTED_VALUE"""),30.0)</f>
        <v>30</v>
      </c>
      <c r="F20" s="17">
        <f>IFERROR(__xludf.DUMMYFUNCTION("""COMPUTED_VALUE"""),0.05)</f>
        <v>0.05</v>
      </c>
      <c r="G20" s="15" t="str">
        <f>IFERROR(__xludf.DUMMYFUNCTION("""COMPUTED_VALUE"""),"QUARTO-SLOT")</f>
        <v>QUARTO-SLOT</v>
      </c>
      <c r="H20" s="11"/>
      <c r="I20" s="15"/>
    </row>
    <row r="21">
      <c r="A21" s="11">
        <f>IFERROR(__xludf.DUMMYFUNCTION("""COMPUTED_VALUE"""),7436.0)</f>
        <v>7436</v>
      </c>
      <c r="B21" s="11" t="str">
        <f>IFERROR(__xludf.DUMMYFUNCTION("""COMPUTED_VALUE"""),"C")</f>
        <v>C</v>
      </c>
      <c r="C21" s="13" t="str">
        <f>IFERROR(__xludf.DUMMYFUNCTION("""COMPUTED_VALUE"""),"Alajbegovic")</f>
        <v>Alajbegovic</v>
      </c>
      <c r="D21" s="11" t="str">
        <f>IFERROR(__xludf.DUMMYFUNCTION("""COMPUTED_VALUE"""),"Juventus")</f>
        <v>Juventus</v>
      </c>
      <c r="E21" s="15">
        <f>IFERROR(__xludf.DUMMYFUNCTION("""COMPUTED_VALUE"""),30.0)</f>
        <v>30</v>
      </c>
      <c r="F21" s="17">
        <f>IFERROR(__xludf.DUMMYFUNCTION("""COMPUTED_VALUE"""),0.05)</f>
        <v>0.05</v>
      </c>
      <c r="G21" s="15" t="str">
        <f>IFERROR(__xludf.DUMMYFUNCTION("""COMPUTED_VALUE"""),"QUARTO-SLOT")</f>
        <v>QUARTO-SLOT</v>
      </c>
      <c r="H21" s="11"/>
      <c r="I21" s="15"/>
    </row>
    <row r="22">
      <c r="A22" s="11">
        <f>IFERROR(__xludf.DUMMYFUNCTION("""COMPUTED_VALUE"""),7078.0)</f>
        <v>7078</v>
      </c>
      <c r="B22" s="11" t="str">
        <f>IFERROR(__xludf.DUMMYFUNCTION("""COMPUTED_VALUE"""),"C")</f>
        <v>C</v>
      </c>
      <c r="C22" s="13" t="str">
        <f>IFERROR(__xludf.DUMMYFUNCTION("""COMPUTED_VALUE"""),"Mastantuono")</f>
        <v>Mastantuono</v>
      </c>
      <c r="D22" s="11" t="str">
        <f>IFERROR(__xludf.DUMMYFUNCTION("""COMPUTED_VALUE"""),"Fiorentina")</f>
        <v>Fiorentina</v>
      </c>
      <c r="E22" s="15">
        <f>IFERROR(__xludf.DUMMYFUNCTION("""COMPUTED_VALUE"""),30.0)</f>
        <v>30</v>
      </c>
      <c r="F22" s="17">
        <f>IFERROR(__xludf.DUMMYFUNCTION("""COMPUTED_VALUE"""),0.05)</f>
        <v>0.05</v>
      </c>
      <c r="G22" s="15" t="str">
        <f>IFERROR(__xludf.DUMMYFUNCTION("""COMPUTED_VALUE"""),"QUARTO-SLOT")</f>
        <v>QUARTO-SLOT</v>
      </c>
      <c r="H22" s="11"/>
      <c r="I22" s="15"/>
    </row>
    <row r="23">
      <c r="A23" s="11">
        <f>IFERROR(__xludf.DUMMYFUNCTION("""COMPUTED_VALUE"""),4973.0)</f>
        <v>4973</v>
      </c>
      <c r="B23" s="11" t="str">
        <f>IFERROR(__xludf.DUMMYFUNCTION("""COMPUTED_VALUE"""),"C")</f>
        <v>C</v>
      </c>
      <c r="C23" s="13" t="str">
        <f>IFERROR(__xludf.DUMMYFUNCTION("""COMPUTED_VALUE"""),"McKennie")</f>
        <v>McKennie</v>
      </c>
      <c r="D23" s="11" t="str">
        <f>IFERROR(__xludf.DUMMYFUNCTION("""COMPUTED_VALUE"""),"Juventus")</f>
        <v>Juventus</v>
      </c>
      <c r="E23" s="15">
        <f>IFERROR(__xludf.DUMMYFUNCTION("""COMPUTED_VALUE"""),24.0)</f>
        <v>24</v>
      </c>
      <c r="F23" s="17">
        <f>IFERROR(__xludf.DUMMYFUNCTION("""COMPUTED_VALUE"""),0.04)</f>
        <v>0.04</v>
      </c>
      <c r="G23" s="15" t="str">
        <f>IFERROR(__xludf.DUMMYFUNCTION("""COMPUTED_VALUE"""),"QUARTO-SLOT")</f>
        <v>QUARTO-SLOT</v>
      </c>
      <c r="H23" s="11"/>
      <c r="I23" s="15"/>
    </row>
    <row r="24">
      <c r="A24" s="11">
        <f>IFERROR(__xludf.DUMMYFUNCTION("""COMPUTED_VALUE"""),5792.0)</f>
        <v>5792</v>
      </c>
      <c r="B24" s="11" t="str">
        <f>IFERROR(__xludf.DUMMYFUNCTION("""COMPUTED_VALUE"""),"C")</f>
        <v>C</v>
      </c>
      <c r="C24" s="13" t="str">
        <f>IFERROR(__xludf.DUMMYFUNCTION("""COMPUTED_VALUE"""),"Ederson D.S.")</f>
        <v>Ederson D.S.</v>
      </c>
      <c r="D24" s="11" t="str">
        <f>IFERROR(__xludf.DUMMYFUNCTION("""COMPUTED_VALUE"""),"Atalanta")</f>
        <v>Atalanta</v>
      </c>
      <c r="E24" s="15">
        <f>IFERROR(__xludf.DUMMYFUNCTION("""COMPUTED_VALUE"""),24.0)</f>
        <v>24</v>
      </c>
      <c r="F24" s="17">
        <f>IFERROR(__xludf.DUMMYFUNCTION("""COMPUTED_VALUE"""),0.04)</f>
        <v>0.04</v>
      </c>
      <c r="G24" s="15" t="str">
        <f>IFERROR(__xludf.DUMMYFUNCTION("""COMPUTED_VALUE"""),"QUARTO-SLOT")</f>
        <v>QUARTO-SLOT</v>
      </c>
      <c r="H24" s="11"/>
      <c r="I24" s="15"/>
    </row>
    <row r="25">
      <c r="A25" s="11">
        <f>IFERROR(__xludf.DUMMYFUNCTION("""COMPUTED_VALUE"""),5800.0)</f>
        <v>5800</v>
      </c>
      <c r="B25" s="11" t="str">
        <f>IFERROR(__xludf.DUMMYFUNCTION("""COMPUTED_VALUE"""),"C")</f>
        <v>C</v>
      </c>
      <c r="C25" s="13" t="str">
        <f>IFERROR(__xludf.DUMMYFUNCTION("""COMPUTED_VALUE"""),"Gudmundsson A.")</f>
        <v>Gudmundsson A.</v>
      </c>
      <c r="D25" s="11" t="str">
        <f>IFERROR(__xludf.DUMMYFUNCTION("""COMPUTED_VALUE"""),"Lazio")</f>
        <v>Lazio</v>
      </c>
      <c r="E25" s="15">
        <f>IFERROR(__xludf.DUMMYFUNCTION("""COMPUTED_VALUE"""),24.0)</f>
        <v>24</v>
      </c>
      <c r="F25" s="17">
        <f>IFERROR(__xludf.DUMMYFUNCTION("""COMPUTED_VALUE"""),0.04)</f>
        <v>0.04</v>
      </c>
      <c r="G25" s="15" t="str">
        <f>IFERROR(__xludf.DUMMYFUNCTION("""COMPUTED_VALUE"""),"QUARTO-SLOT")</f>
        <v>QUARTO-SLOT</v>
      </c>
      <c r="H25" s="11"/>
      <c r="I25" s="15"/>
    </row>
    <row r="26">
      <c r="A26" s="11">
        <f>IFERROR(__xludf.DUMMYFUNCTION("""COMPUTED_VALUE"""),6684.0)</f>
        <v>6684</v>
      </c>
      <c r="B26" s="11" t="str">
        <f>IFERROR(__xludf.DUMMYFUNCTION("""COMPUTED_VALUE"""),"C")</f>
        <v>C</v>
      </c>
      <c r="C26" s="13" t="str">
        <f>IFERROR(__xludf.DUMMYFUNCTION("""COMPUTED_VALUE"""),"Ekkelenkamp")</f>
        <v>Ekkelenkamp</v>
      </c>
      <c r="D26" s="11" t="str">
        <f>IFERROR(__xludf.DUMMYFUNCTION("""COMPUTED_VALUE"""),"Udinese")</f>
        <v>Udinese</v>
      </c>
      <c r="E26" s="15">
        <f>IFERROR(__xludf.DUMMYFUNCTION("""COMPUTED_VALUE"""),24.0)</f>
        <v>24</v>
      </c>
      <c r="F26" s="17">
        <f>IFERROR(__xludf.DUMMYFUNCTION("""COMPUTED_VALUE"""),0.04)</f>
        <v>0.04</v>
      </c>
      <c r="G26" s="15" t="str">
        <f>IFERROR(__xludf.DUMMYFUNCTION("""COMPUTED_VALUE"""),"QUARTO-SLOT")</f>
        <v>QUARTO-SLOT</v>
      </c>
      <c r="H26" s="11" t="str">
        <f>IFERROR(__xludf.DUMMYFUNCTION("""COMPUTED_VALUE"""),"⭐")</f>
        <v>⭐</v>
      </c>
      <c r="I26" s="15"/>
    </row>
    <row r="27">
      <c r="A27" s="11">
        <f>IFERROR(__xludf.DUMMYFUNCTION("""COMPUTED_VALUE"""),6844.0)</f>
        <v>6844</v>
      </c>
      <c r="B27" s="11" t="str">
        <f>IFERROR(__xludf.DUMMYFUNCTION("""COMPUTED_VALUE"""),"C")</f>
        <v>C</v>
      </c>
      <c r="C27" s="13" t="str">
        <f>IFERROR(__xludf.DUMMYFUNCTION("""COMPUTED_VALUE"""),"Rowe")</f>
        <v>Rowe</v>
      </c>
      <c r="D27" s="11" t="str">
        <f>IFERROR(__xludf.DUMMYFUNCTION("""COMPUTED_VALUE"""),"Atalanta")</f>
        <v>Atalanta</v>
      </c>
      <c r="E27" s="15">
        <f>IFERROR(__xludf.DUMMYFUNCTION("""COMPUTED_VALUE"""),24.0)</f>
        <v>24</v>
      </c>
      <c r="F27" s="17">
        <f>IFERROR(__xludf.DUMMYFUNCTION("""COMPUTED_VALUE"""),0.04)</f>
        <v>0.04</v>
      </c>
      <c r="G27" s="15" t="str">
        <f>IFERROR(__xludf.DUMMYFUNCTION("""COMPUTED_VALUE"""),"QUARTO-SLOT")</f>
        <v>QUARTO-SLOT</v>
      </c>
      <c r="H27" s="11"/>
      <c r="I27" s="15"/>
    </row>
    <row r="28">
      <c r="A28" s="11">
        <f>IFERROR(__xludf.DUMMYFUNCTION("""COMPUTED_VALUE"""),6274.0)</f>
        <v>6274</v>
      </c>
      <c r="B28" s="11" t="str">
        <f>IFERROR(__xludf.DUMMYFUNCTION("""COMPUTED_VALUE"""),"C")</f>
        <v>C</v>
      </c>
      <c r="C28" s="13" t="str">
        <f>IFERROR(__xludf.DUMMYFUNCTION("""COMPUTED_VALUE"""),"Diouf")</f>
        <v>Diouf</v>
      </c>
      <c r="D28" s="11" t="str">
        <f>IFERROR(__xludf.DUMMYFUNCTION("""COMPUTED_VALUE"""),"Inter")</f>
        <v>Inter</v>
      </c>
      <c r="E28" s="15">
        <f>IFERROR(__xludf.DUMMYFUNCTION("""COMPUTED_VALUE"""),24.0)</f>
        <v>24</v>
      </c>
      <c r="F28" s="17">
        <f>IFERROR(__xludf.DUMMYFUNCTION("""COMPUTED_VALUE"""),0.04)</f>
        <v>0.04</v>
      </c>
      <c r="G28" s="15" t="str">
        <f>IFERROR(__xludf.DUMMYFUNCTION("""COMPUTED_VALUE"""),"QUARTO-SLOT")</f>
        <v>QUARTO-SLOT</v>
      </c>
      <c r="H28" s="11"/>
      <c r="I28" s="15"/>
    </row>
    <row r="29">
      <c r="A29" s="11">
        <f>IFERROR(__xludf.DUMMYFUNCTION("""COMPUTED_VALUE"""),5119.0)</f>
        <v>5119</v>
      </c>
      <c r="B29" s="11" t="str">
        <f>IFERROR(__xludf.DUMMYFUNCTION("""COMPUTED_VALUE"""),"C")</f>
        <v>C</v>
      </c>
      <c r="C29" s="13" t="str">
        <f>IFERROR(__xludf.DUMMYFUNCTION("""COMPUTED_VALUE"""),"Samardzic")</f>
        <v>Samardzic</v>
      </c>
      <c r="D29" s="11" t="str">
        <f>IFERROR(__xludf.DUMMYFUNCTION("""COMPUTED_VALUE"""),"Atalanta")</f>
        <v>Atalanta</v>
      </c>
      <c r="E29" s="15">
        <f>IFERROR(__xludf.DUMMYFUNCTION("""COMPUTED_VALUE"""),21.0)</f>
        <v>21</v>
      </c>
      <c r="F29" s="17">
        <f>IFERROR(__xludf.DUMMYFUNCTION("""COMPUTED_VALUE"""),0.035)</f>
        <v>0.035</v>
      </c>
      <c r="G29" s="15" t="str">
        <f>IFERROR(__xludf.DUMMYFUNCTION("""COMPUTED_VALUE"""),"QUARTO-SLOT")</f>
        <v>QUARTO-SLOT</v>
      </c>
      <c r="H29" s="11"/>
      <c r="I29" s="15"/>
    </row>
    <row r="30">
      <c r="A30" s="11">
        <f>IFERROR(__xludf.DUMMYFUNCTION("""COMPUTED_VALUE"""),7625.0)</f>
        <v>7625</v>
      </c>
      <c r="B30" s="11" t="str">
        <f>IFERROR(__xludf.DUMMYFUNCTION("""COMPUTED_VALUE"""),"C")</f>
        <v>C</v>
      </c>
      <c r="C30" s="11" t="str">
        <f>IFERROR(__xludf.DUMMYFUNCTION("""COMPUTED_VALUE"""),"Goncalves P.")</f>
        <v>Goncalves P.</v>
      </c>
      <c r="D30" s="11" t="str">
        <f>IFERROR(__xludf.DUMMYFUNCTION("""COMPUTED_VALUE"""),"Fiorentina")</f>
        <v>Fiorentina</v>
      </c>
      <c r="E30" s="15">
        <f>IFERROR(__xludf.DUMMYFUNCTION("""COMPUTED_VALUE"""),21.0)</f>
        <v>21</v>
      </c>
      <c r="F30" s="17">
        <f>IFERROR(__xludf.DUMMYFUNCTION("""COMPUTED_VALUE"""),0.035)</f>
        <v>0.035</v>
      </c>
      <c r="G30" s="15" t="str">
        <f>IFERROR(__xludf.DUMMYFUNCTION("""COMPUTED_VALUE"""),"QUARTO-SLOT")</f>
        <v>QUARTO-SLOT</v>
      </c>
      <c r="H30" s="11" t="str">
        <f>IFERROR(__xludf.DUMMYFUNCTION("""COMPUTED_VALUE"""),"⭐")</f>
        <v>⭐</v>
      </c>
      <c r="I30" s="15"/>
    </row>
    <row r="31">
      <c r="A31" s="11">
        <f>IFERROR(__xludf.DUMMYFUNCTION("""COMPUTED_VALUE"""),6372.0)</f>
        <v>6372</v>
      </c>
      <c r="B31" s="11" t="str">
        <f>IFERROR(__xludf.DUMMYFUNCTION("""COMPUTED_VALUE"""),"C")</f>
        <v>C</v>
      </c>
      <c r="C31" s="13" t="str">
        <f>IFERROR(__xludf.DUMMYFUNCTION("""COMPUTED_VALUE"""),"Moreira")</f>
        <v>Moreira</v>
      </c>
      <c r="D31" s="11" t="str">
        <f>IFERROR(__xludf.DUMMYFUNCTION("""COMPUTED_VALUE"""),"Milan")</f>
        <v>Milan</v>
      </c>
      <c r="E31" s="15">
        <f>IFERROR(__xludf.DUMMYFUNCTION("""COMPUTED_VALUE"""),21.0)</f>
        <v>21</v>
      </c>
      <c r="F31" s="17">
        <f>IFERROR(__xludf.DUMMYFUNCTION("""COMPUTED_VALUE"""),0.035)</f>
        <v>0.035</v>
      </c>
      <c r="G31" s="15" t="str">
        <f>IFERROR(__xludf.DUMMYFUNCTION("""COMPUTED_VALUE"""),"QUARTO-SLOT")</f>
        <v>QUARTO-SLOT</v>
      </c>
      <c r="H31" s="11"/>
      <c r="I31" s="15"/>
    </row>
    <row r="32">
      <c r="A32" s="11">
        <f>IFERROR(__xludf.DUMMYFUNCTION("""COMPUTED_VALUE"""),6398.0)</f>
        <v>6398</v>
      </c>
      <c r="B32" s="11" t="str">
        <f>IFERROR(__xludf.DUMMYFUNCTION("""COMPUTED_VALUE"""),"C")</f>
        <v>C</v>
      </c>
      <c r="C32" s="11" t="str">
        <f>IFERROR(__xludf.DUMMYFUNCTION("""COMPUTED_VALUE"""),"Isaksen")</f>
        <v>Isaksen</v>
      </c>
      <c r="D32" s="11" t="str">
        <f>IFERROR(__xludf.DUMMYFUNCTION("""COMPUTED_VALUE"""),"Lazio")</f>
        <v>Lazio</v>
      </c>
      <c r="E32" s="15">
        <f>IFERROR(__xludf.DUMMYFUNCTION("""COMPUTED_VALUE"""),12.0)</f>
        <v>12</v>
      </c>
      <c r="F32" s="17">
        <f>IFERROR(__xludf.DUMMYFUNCTION("""COMPUTED_VALUE"""),0.02)</f>
        <v>0.02</v>
      </c>
      <c r="G32" s="15" t="str">
        <f>IFERROR(__xludf.DUMMYFUNCTION("""COMPUTED_VALUE"""),"QUARTO-SLOT")</f>
        <v>QUARTO-SLOT</v>
      </c>
      <c r="H32" s="11"/>
      <c r="I32" s="15"/>
    </row>
    <row r="33">
      <c r="A33" s="11">
        <f>IFERROR(__xludf.DUMMYFUNCTION("""COMPUTED_VALUE"""),4179.0)</f>
        <v>4179</v>
      </c>
      <c r="B33" s="11" t="str">
        <f>IFERROR(__xludf.DUMMYFUNCTION("""COMPUTED_VALUE"""),"C")</f>
        <v>C</v>
      </c>
      <c r="C33" s="13" t="str">
        <f>IFERROR(__xludf.DUMMYFUNCTION("""COMPUTED_VALUE"""),"Gonzalez N.")</f>
        <v>Gonzalez N.</v>
      </c>
      <c r="D33" s="11" t="str">
        <f>IFERROR(__xludf.DUMMYFUNCTION("""COMPUTED_VALUE"""),"Juventus")</f>
        <v>Juventus</v>
      </c>
      <c r="E33" s="15">
        <f>IFERROR(__xludf.DUMMYFUNCTION("""COMPUTED_VALUE"""),24.0)</f>
        <v>24</v>
      </c>
      <c r="F33" s="17">
        <f>IFERROR(__xludf.DUMMYFUNCTION("""COMPUTED_VALUE"""),0.04)</f>
        <v>0.04</v>
      </c>
      <c r="G33" s="15" t="str">
        <f>IFERROR(__xludf.DUMMYFUNCTION("""COMPUTED_VALUE"""),"SCOMMESSE")</f>
        <v>SCOMMESSE</v>
      </c>
      <c r="H33" s="11" t="str">
        <f>IFERROR(__xludf.DUMMYFUNCTION("""COMPUTED_VALUE"""),"⭐")</f>
        <v>⭐</v>
      </c>
      <c r="I33" s="15"/>
    </row>
    <row r="34">
      <c r="A34" s="11">
        <f>IFERROR(__xludf.DUMMYFUNCTION("""COMPUTED_VALUE"""),6833.0)</f>
        <v>6833</v>
      </c>
      <c r="B34" s="11" t="str">
        <f>IFERROR(__xludf.DUMMYFUNCTION("""COMPUTED_VALUE"""),"C")</f>
        <v>C</v>
      </c>
      <c r="C34" s="13" t="str">
        <f>IFERROR(__xludf.DUMMYFUNCTION("""COMPUTED_VALUE"""),"Mbangula")</f>
        <v>Mbangula</v>
      </c>
      <c r="D34" s="11" t="str">
        <f>IFERROR(__xludf.DUMMYFUNCTION("""COMPUTED_VALUE"""),"Bologna")</f>
        <v>Bologna</v>
      </c>
      <c r="E34" s="15">
        <f>IFERROR(__xludf.DUMMYFUNCTION("""COMPUTED_VALUE"""),12.0)</f>
        <v>12</v>
      </c>
      <c r="F34" s="17">
        <f>IFERROR(__xludf.DUMMYFUNCTION("""COMPUTED_VALUE"""),0.02)</f>
        <v>0.02</v>
      </c>
      <c r="G34" s="15" t="str">
        <f>IFERROR(__xludf.DUMMYFUNCTION("""COMPUTED_VALUE"""),"SCOMMESSE")</f>
        <v>SCOMMESSE</v>
      </c>
      <c r="H34" s="11" t="str">
        <f>IFERROR(__xludf.DUMMYFUNCTION("""COMPUTED_VALUE"""),"⭐")</f>
        <v>⭐</v>
      </c>
      <c r="I34" s="15"/>
    </row>
    <row r="35">
      <c r="A35" s="11">
        <f>IFERROR(__xludf.DUMMYFUNCTION("""COMPUTED_VALUE"""),5685.0)</f>
        <v>5685</v>
      </c>
      <c r="B35" s="11" t="str">
        <f>IFERROR(__xludf.DUMMYFUNCTION("""COMPUTED_VALUE"""),"C")</f>
        <v>C</v>
      </c>
      <c r="C35" s="13" t="str">
        <f>IFERROR(__xludf.DUMMYFUNCTION("""COMPUTED_VALUE"""),"Koopmeiners")</f>
        <v>Koopmeiners</v>
      </c>
      <c r="D35" s="11" t="str">
        <f>IFERROR(__xludf.DUMMYFUNCTION("""COMPUTED_VALUE"""),"Juventus")</f>
        <v>Juventus</v>
      </c>
      <c r="E35" s="15">
        <f>IFERROR(__xludf.DUMMYFUNCTION("""COMPUTED_VALUE"""),6.0)</f>
        <v>6</v>
      </c>
      <c r="F35" s="17">
        <f>IFERROR(__xludf.DUMMYFUNCTION("""COMPUTED_VALUE"""),0.01)</f>
        <v>0.01</v>
      </c>
      <c r="G35" s="15" t="str">
        <f>IFERROR(__xludf.DUMMYFUNCTION("""COMPUTED_VALUE"""),"SCOMMESSE")</f>
        <v>SCOMMESSE</v>
      </c>
      <c r="H35" s="11"/>
      <c r="I35" s="15"/>
    </row>
    <row r="36">
      <c r="A36" s="11">
        <f>IFERROR(__xludf.DUMMYFUNCTION("""COMPUTED_VALUE"""),184.0)</f>
        <v>184</v>
      </c>
      <c r="B36" s="11" t="str">
        <f>IFERROR(__xludf.DUMMYFUNCTION("""COMPUTED_VALUE"""),"C")</f>
        <v>C</v>
      </c>
      <c r="C36" s="13" t="str">
        <f>IFERROR(__xludf.DUMMYFUNCTION("""COMPUTED_VALUE"""),"Bernardeschi")</f>
        <v>Bernardeschi</v>
      </c>
      <c r="D36" s="11" t="str">
        <f>IFERROR(__xludf.DUMMYFUNCTION("""COMPUTED_VALUE"""),"Bologna")</f>
        <v>Bologna</v>
      </c>
      <c r="E36" s="15">
        <f>IFERROR(__xludf.DUMMYFUNCTION("""COMPUTED_VALUE"""),6.0)</f>
        <v>6</v>
      </c>
      <c r="F36" s="17">
        <f>IFERROR(__xludf.DUMMYFUNCTION("""COMPUTED_VALUE"""),0.01)</f>
        <v>0.01</v>
      </c>
      <c r="G36" s="15" t="str">
        <f>IFERROR(__xludf.DUMMYFUNCTION("""COMPUTED_VALUE"""),"SCOMMESSE")</f>
        <v>SCOMMESSE</v>
      </c>
      <c r="H36" s="11" t="str">
        <f>IFERROR(__xludf.DUMMYFUNCTION("""COMPUTED_VALUE"""),"⭐")</f>
        <v>⭐</v>
      </c>
      <c r="I36" s="15"/>
    </row>
    <row r="37">
      <c r="A37" s="11">
        <f>IFERROR(__xludf.DUMMYFUNCTION("""COMPUTED_VALUE"""),4436.0)</f>
        <v>4436</v>
      </c>
      <c r="B37" s="11" t="str">
        <f>IFERROR(__xludf.DUMMYFUNCTION("""COMPUTED_VALUE"""),"C")</f>
        <v>C</v>
      </c>
      <c r="C37" s="11" t="str">
        <f>IFERROR(__xludf.DUMMYFUNCTION("""COMPUTED_VALUE"""),"Cambiaghi")</f>
        <v>Cambiaghi</v>
      </c>
      <c r="D37" s="11" t="str">
        <f>IFERROR(__xludf.DUMMYFUNCTION("""COMPUTED_VALUE"""),"Bologna")</f>
        <v>Bologna</v>
      </c>
      <c r="E37" s="15">
        <f>IFERROR(__xludf.DUMMYFUNCTION("""COMPUTED_VALUE"""),6.0)</f>
        <v>6</v>
      </c>
      <c r="F37" s="17">
        <f>IFERROR(__xludf.DUMMYFUNCTION("""COMPUTED_VALUE"""),0.01)</f>
        <v>0.01</v>
      </c>
      <c r="G37" s="15" t="str">
        <f>IFERROR(__xludf.DUMMYFUNCTION("""COMPUTED_VALUE"""),"SCOMMESSE")</f>
        <v>SCOMMESSE</v>
      </c>
      <c r="H37" s="11"/>
      <c r="I37" s="15"/>
    </row>
    <row r="38">
      <c r="A38" s="11">
        <f>IFERROR(__xludf.DUMMYFUNCTION("""COMPUTED_VALUE"""),4349.0)</f>
        <v>4349</v>
      </c>
      <c r="B38" s="11" t="str">
        <f>IFERROR(__xludf.DUMMYFUNCTION("""COMPUTED_VALUE"""),"C")</f>
        <v>C</v>
      </c>
      <c r="C38" s="11" t="str">
        <f>IFERROR(__xludf.DUMMYFUNCTION("""COMPUTED_VALUE"""),"Nicolussi Caviglia")</f>
        <v>Nicolussi Caviglia</v>
      </c>
      <c r="D38" s="11" t="str">
        <f>IFERROR(__xludf.DUMMYFUNCTION("""COMPUTED_VALUE"""),"Parma")</f>
        <v>Parma</v>
      </c>
      <c r="E38" s="15">
        <f>IFERROR(__xludf.DUMMYFUNCTION("""COMPUTED_VALUE"""),6.0)</f>
        <v>6</v>
      </c>
      <c r="F38" s="17">
        <f>IFERROR(__xludf.DUMMYFUNCTION("""COMPUTED_VALUE"""),0.01)</f>
        <v>0.01</v>
      </c>
      <c r="G38" s="15" t="str">
        <f>IFERROR(__xludf.DUMMYFUNCTION("""COMPUTED_VALUE"""),"SCOMMESSE")</f>
        <v>SCOMMESSE</v>
      </c>
      <c r="H38" s="11"/>
      <c r="I38" s="15"/>
    </row>
    <row r="39">
      <c r="A39" s="11">
        <f>IFERROR(__xludf.DUMMYFUNCTION("""COMPUTED_VALUE"""),6677.0)</f>
        <v>6677</v>
      </c>
      <c r="B39" s="11" t="str">
        <f>IFERROR(__xludf.DUMMYFUNCTION("""COMPUTED_VALUE"""),"C")</f>
        <v>C</v>
      </c>
      <c r="C39" s="11" t="str">
        <f>IFERROR(__xludf.DUMMYFUNCTION("""COMPUTED_VALUE"""),"Adzic")</f>
        <v>Adzic</v>
      </c>
      <c r="D39" s="11" t="str">
        <f>IFERROR(__xludf.DUMMYFUNCTION("""COMPUTED_VALUE"""),"Sassuolo")</f>
        <v>Sassuolo</v>
      </c>
      <c r="E39" s="15">
        <f>IFERROR(__xludf.DUMMYFUNCTION("""COMPUTED_VALUE"""),6.0)</f>
        <v>6</v>
      </c>
      <c r="F39" s="17">
        <f>IFERROR(__xludf.DUMMYFUNCTION("""COMPUTED_VALUE"""),0.01)</f>
        <v>0.01</v>
      </c>
      <c r="G39" s="15" t="str">
        <f>IFERROR(__xludf.DUMMYFUNCTION("""COMPUTED_VALUE"""),"SCOMMESSE")</f>
        <v>SCOMMESSE</v>
      </c>
      <c r="H39" s="11"/>
      <c r="I39" s="15"/>
    </row>
    <row r="40">
      <c r="A40" s="11">
        <f>IFERROR(__xludf.DUMMYFUNCTION("""COMPUTED_VALUE"""),5500.0)</f>
        <v>5500</v>
      </c>
      <c r="B40" s="11" t="str">
        <f>IFERROR(__xludf.DUMMYFUNCTION("""COMPUTED_VALUE"""),"C")</f>
        <v>C</v>
      </c>
      <c r="C40" s="13" t="str">
        <f>IFERROR(__xludf.DUMMYFUNCTION("""COMPUTED_VALUE"""),"Cancellieri")</f>
        <v>Cancellieri</v>
      </c>
      <c r="D40" s="11" t="str">
        <f>IFERROR(__xludf.DUMMYFUNCTION("""COMPUTED_VALUE"""),"Lazio")</f>
        <v>Lazio</v>
      </c>
      <c r="E40" s="15">
        <f>IFERROR(__xludf.DUMMYFUNCTION("""COMPUTED_VALUE"""),1.0)</f>
        <v>1</v>
      </c>
      <c r="F40" s="17">
        <f>IFERROR(__xludf.DUMMYFUNCTION("""COMPUTED_VALUE"""),0.002)</f>
        <v>0.002</v>
      </c>
      <c r="G40" s="15" t="str">
        <f>IFERROR(__xludf.DUMMYFUNCTION("""COMPUTED_VALUE"""),"SCOMMESSE")</f>
        <v>SCOMMESSE</v>
      </c>
      <c r="H40" s="11"/>
      <c r="I40" s="15"/>
    </row>
    <row r="41">
      <c r="A41" s="11">
        <f>IFERROR(__xludf.DUMMYFUNCTION("""COMPUTED_VALUE"""),7060.0)</f>
        <v>7060</v>
      </c>
      <c r="B41" s="11" t="str">
        <f>IFERROR(__xludf.DUMMYFUNCTION("""COMPUTED_VALUE"""),"C")</f>
        <v>C</v>
      </c>
      <c r="C41" s="11" t="str">
        <f>IFERROR(__xludf.DUMMYFUNCTION("""COMPUTED_VALUE"""),"Cacciamani")</f>
        <v>Cacciamani</v>
      </c>
      <c r="D41" s="11" t="str">
        <f>IFERROR(__xludf.DUMMYFUNCTION("""COMPUTED_VALUE"""),"Torino")</f>
        <v>Torino</v>
      </c>
      <c r="E41" s="15">
        <f>IFERROR(__xludf.DUMMYFUNCTION("""COMPUTED_VALUE"""),1.0)</f>
        <v>1</v>
      </c>
      <c r="F41" s="17">
        <f>IFERROR(__xludf.DUMMYFUNCTION("""COMPUTED_VALUE"""),0.002)</f>
        <v>0.002</v>
      </c>
      <c r="G41" s="15" t="str">
        <f>IFERROR(__xludf.DUMMYFUNCTION("""COMPUTED_VALUE"""),"SCOMMESSE")</f>
        <v>SCOMMESSE</v>
      </c>
      <c r="H41" s="11"/>
      <c r="I41" s="15"/>
    </row>
    <row r="42">
      <c r="A42" s="11">
        <f>IFERROR(__xludf.DUMMYFUNCTION("""COMPUTED_VALUE"""),530.0)</f>
        <v>530</v>
      </c>
      <c r="B42" s="11" t="str">
        <f>IFERROR(__xludf.DUMMYFUNCTION("""COMPUTED_VALUE"""),"C")</f>
        <v>C</v>
      </c>
      <c r="C42" s="11" t="str">
        <f>IFERROR(__xludf.DUMMYFUNCTION("""COMPUTED_VALUE"""),"Pellegrini Lo.")</f>
        <v>Pellegrini Lo.</v>
      </c>
      <c r="D42" s="11" t="str">
        <f>IFERROR(__xludf.DUMMYFUNCTION("""COMPUTED_VALUE"""),"Roma")</f>
        <v>Roma</v>
      </c>
      <c r="E42" s="15">
        <f>IFERROR(__xludf.DUMMYFUNCTION("""COMPUTED_VALUE"""),1.0)</f>
        <v>1</v>
      </c>
      <c r="F42" s="17">
        <f>IFERROR(__xludf.DUMMYFUNCTION("""COMPUTED_VALUE"""),0.001)</f>
        <v>0.001</v>
      </c>
      <c r="G42" s="15" t="str">
        <f>IFERROR(__xludf.DUMMYFUNCTION("""COMPUTED_VALUE"""),"SCOMMESSE")</f>
        <v>SCOMMESSE</v>
      </c>
      <c r="H42" s="11"/>
      <c r="I42" s="15"/>
    </row>
    <row r="43">
      <c r="A43" s="11">
        <f>IFERROR(__xludf.DUMMYFUNCTION("""COMPUTED_VALUE"""),5946.0)</f>
        <v>5946</v>
      </c>
      <c r="B43" s="11" t="str">
        <f>IFERROR(__xludf.DUMMYFUNCTION("""COMPUTED_VALUE"""),"C")</f>
        <v>C</v>
      </c>
      <c r="C43" s="11" t="str">
        <f>IFERROR(__xludf.DUMMYFUNCTION("""COMPUTED_VALUE"""),"Sow")</f>
        <v>Sow</v>
      </c>
      <c r="D43" s="11" t="str">
        <f>IFERROR(__xludf.DUMMYFUNCTION("""COMPUTED_VALUE"""),"Genoa")</f>
        <v>Genoa</v>
      </c>
      <c r="E43" s="15">
        <f>IFERROR(__xludf.DUMMYFUNCTION("""COMPUTED_VALUE"""),1.0)</f>
        <v>1</v>
      </c>
      <c r="F43" s="17">
        <f>IFERROR(__xludf.DUMMYFUNCTION("""COMPUTED_VALUE"""),0.002)</f>
        <v>0.002</v>
      </c>
      <c r="G43" s="15" t="str">
        <f>IFERROR(__xludf.DUMMYFUNCTION("""COMPUTED_VALUE"""),"SCOMMESSE")</f>
        <v>SCOMMESSE</v>
      </c>
      <c r="H43" s="11"/>
      <c r="I43" s="15"/>
    </row>
    <row r="44">
      <c r="A44" s="11">
        <f>IFERROR(__xludf.DUMMYFUNCTION("""COMPUTED_VALUE"""),5761.0)</f>
        <v>5761</v>
      </c>
      <c r="B44" s="11" t="str">
        <f>IFERROR(__xludf.DUMMYFUNCTION("""COMPUTED_VALUE"""),"C")</f>
        <v>C</v>
      </c>
      <c r="C44" s="11" t="str">
        <f>IFERROR(__xludf.DUMMYFUNCTION("""COMPUTED_VALUE"""),"Zhegrova")</f>
        <v>Zhegrova</v>
      </c>
      <c r="D44" s="11" t="str">
        <f>IFERROR(__xludf.DUMMYFUNCTION("""COMPUTED_VALUE"""),"Juventus")</f>
        <v>Juventus</v>
      </c>
      <c r="E44" s="15">
        <f>IFERROR(__xludf.DUMMYFUNCTION("""COMPUTED_VALUE"""),1.0)</f>
        <v>1</v>
      </c>
      <c r="F44" s="17">
        <f>IFERROR(__xludf.DUMMYFUNCTION("""COMPUTED_VALUE"""),0.002)</f>
        <v>0.002</v>
      </c>
      <c r="G44" s="15" t="str">
        <f>IFERROR(__xludf.DUMMYFUNCTION("""COMPUTED_VALUE"""),"SCOMMESSE")</f>
        <v>SCOMMESSE</v>
      </c>
      <c r="H44" s="11"/>
      <c r="I44" s="15"/>
    </row>
    <row r="45">
      <c r="A45" s="11">
        <f>IFERROR(__xludf.DUMMYFUNCTION("""COMPUTED_VALUE"""),1850.0)</f>
        <v>1850</v>
      </c>
      <c r="B45" s="11" t="str">
        <f>IFERROR(__xludf.DUMMYFUNCTION("""COMPUTED_VALUE"""),"C")</f>
        <v>C</v>
      </c>
      <c r="C45" s="11" t="str">
        <f>IFERROR(__xludf.DUMMYFUNCTION("""COMPUTED_VALUE"""),"Kessiè")</f>
        <v>Kessiè</v>
      </c>
      <c r="D45" s="11" t="str">
        <f>IFERROR(__xludf.DUMMYFUNCTION("""COMPUTED_VALUE"""),"Atalanta")</f>
        <v>Atalanta</v>
      </c>
      <c r="E45" s="15">
        <f>IFERROR(__xludf.DUMMYFUNCTION("""COMPUTED_VALUE"""),18.0)</f>
        <v>18</v>
      </c>
      <c r="F45" s="17">
        <f>IFERROR(__xludf.DUMMYFUNCTION("""COMPUTED_VALUE"""),0.03)</f>
        <v>0.03</v>
      </c>
      <c r="G45" s="15" t="str">
        <f>IFERROR(__xludf.DUMMYFUNCTION("""COMPUTED_VALUE"""),"TITOLARI")</f>
        <v>TITOLARI</v>
      </c>
      <c r="H45" s="11"/>
      <c r="I45" s="15"/>
    </row>
    <row r="46">
      <c r="A46" s="11">
        <f>IFERROR(__xludf.DUMMYFUNCTION("""COMPUTED_VALUE"""),2606.0)</f>
        <v>2606</v>
      </c>
      <c r="B46" s="11" t="str">
        <f>IFERROR(__xludf.DUMMYFUNCTION("""COMPUTED_VALUE"""),"C")</f>
        <v>C</v>
      </c>
      <c r="C46" s="13" t="str">
        <f>IFERROR(__xludf.DUMMYFUNCTION("""COMPUTED_VALUE"""),"Modric")</f>
        <v>Modric</v>
      </c>
      <c r="D46" s="11" t="str">
        <f>IFERROR(__xludf.DUMMYFUNCTION("""COMPUTED_VALUE"""),"Milan")</f>
        <v>Milan</v>
      </c>
      <c r="E46" s="15">
        <f>IFERROR(__xludf.DUMMYFUNCTION("""COMPUTED_VALUE"""),18.0)</f>
        <v>18</v>
      </c>
      <c r="F46" s="17">
        <f>IFERROR(__xludf.DUMMYFUNCTION("""COMPUTED_VALUE"""),0.03)</f>
        <v>0.03</v>
      </c>
      <c r="G46" s="15" t="str">
        <f>IFERROR(__xludf.DUMMYFUNCTION("""COMPUTED_VALUE"""),"TITOLARI")</f>
        <v>TITOLARI</v>
      </c>
      <c r="H46" s="11"/>
      <c r="I46" s="15"/>
    </row>
    <row r="47">
      <c r="A47" s="11">
        <f>IFERROR(__xludf.DUMMYFUNCTION("""COMPUTED_VALUE"""),5589.0)</f>
        <v>5589</v>
      </c>
      <c r="B47" s="11" t="str">
        <f>IFERROR(__xludf.DUMMYFUNCTION("""COMPUTED_VALUE"""),"C")</f>
        <v>C</v>
      </c>
      <c r="C47" s="11" t="str">
        <f>IFERROR(__xludf.DUMMYFUNCTION("""COMPUTED_VALUE"""),"Konè M.")</f>
        <v>Konè M.</v>
      </c>
      <c r="D47" s="11" t="str">
        <f>IFERROR(__xludf.DUMMYFUNCTION("""COMPUTED_VALUE"""),"Roma")</f>
        <v>Roma</v>
      </c>
      <c r="E47" s="15">
        <f>IFERROR(__xludf.DUMMYFUNCTION("""COMPUTED_VALUE"""),18.0)</f>
        <v>18</v>
      </c>
      <c r="F47" s="17">
        <f>IFERROR(__xludf.DUMMYFUNCTION("""COMPUTED_VALUE"""),0.03)</f>
        <v>0.03</v>
      </c>
      <c r="G47" s="15" t="str">
        <f>IFERROR(__xludf.DUMMYFUNCTION("""COMPUTED_VALUE"""),"TITOLARI")</f>
        <v>TITOLARI</v>
      </c>
      <c r="H47" s="11"/>
      <c r="I47" s="15"/>
    </row>
    <row r="48">
      <c r="A48" s="11">
        <f>IFERROR(__xludf.DUMMYFUNCTION("""COMPUTED_VALUE"""),7223.0)</f>
        <v>7223</v>
      </c>
      <c r="B48" s="11" t="str">
        <f>IFERROR(__xludf.DUMMYFUNCTION("""COMPUTED_VALUE"""),"C")</f>
        <v>C</v>
      </c>
      <c r="C48" s="11" t="str">
        <f>IFERROR(__xludf.DUMMYFUNCTION("""COMPUTED_VALUE"""),"Vergara")</f>
        <v>Vergara</v>
      </c>
      <c r="D48" s="11" t="str">
        <f>IFERROR(__xludf.DUMMYFUNCTION("""COMPUTED_VALUE"""),"Napoli")</f>
        <v>Napoli</v>
      </c>
      <c r="E48" s="15">
        <f>IFERROR(__xludf.DUMMYFUNCTION("""COMPUTED_VALUE"""),15.0)</f>
        <v>15</v>
      </c>
      <c r="F48" s="17">
        <f>IFERROR(__xludf.DUMMYFUNCTION("""COMPUTED_VALUE"""),0.025)</f>
        <v>0.025</v>
      </c>
      <c r="G48" s="15" t="str">
        <f>IFERROR(__xludf.DUMMYFUNCTION("""COMPUTED_VALUE"""),"TITOLARI")</f>
        <v>TITOLARI</v>
      </c>
      <c r="H48" s="11"/>
      <c r="I48" s="15"/>
    </row>
    <row r="49">
      <c r="A49" s="11">
        <f>IFERROR(__xludf.DUMMYFUNCTION("""COMPUTED_VALUE"""),4220.0)</f>
        <v>4220</v>
      </c>
      <c r="B49" s="11" t="str">
        <f>IFERROR(__xludf.DUMMYFUNCTION("""COMPUTED_VALUE"""),"C")</f>
        <v>C</v>
      </c>
      <c r="C49" s="11" t="str">
        <f>IFERROR(__xludf.DUMMYFUNCTION("""COMPUTED_VALUE"""),"Zambo Anguissa")</f>
        <v>Zambo Anguissa</v>
      </c>
      <c r="D49" s="11" t="str">
        <f>IFERROR(__xludf.DUMMYFUNCTION("""COMPUTED_VALUE"""),"Napoli")</f>
        <v>Napoli</v>
      </c>
      <c r="E49" s="15">
        <f>IFERROR(__xludf.DUMMYFUNCTION("""COMPUTED_VALUE"""),12.0)</f>
        <v>12</v>
      </c>
      <c r="F49" s="17">
        <f>IFERROR(__xludf.DUMMYFUNCTION("""COMPUTED_VALUE"""),0.02)</f>
        <v>0.02</v>
      </c>
      <c r="G49" s="15" t="str">
        <f>IFERROR(__xludf.DUMMYFUNCTION("""COMPUTED_VALUE"""),"TITOLARI")</f>
        <v>TITOLARI</v>
      </c>
      <c r="H49" s="11"/>
      <c r="I49" s="15"/>
    </row>
    <row r="50">
      <c r="A50" s="11">
        <f>IFERROR(__xludf.DUMMYFUNCTION("""COMPUTED_VALUE"""),4892.0)</f>
        <v>4892</v>
      </c>
      <c r="B50" s="11" t="str">
        <f>IFERROR(__xludf.DUMMYFUNCTION("""COMPUTED_VALUE"""),"C")</f>
        <v>C</v>
      </c>
      <c r="C50" s="11" t="str">
        <f>IFERROR(__xludf.DUMMYFUNCTION("""COMPUTED_VALUE"""),"Saelemaekers")</f>
        <v>Saelemaekers</v>
      </c>
      <c r="D50" s="11" t="str">
        <f>IFERROR(__xludf.DUMMYFUNCTION("""COMPUTED_VALUE"""),"Milan")</f>
        <v>Milan</v>
      </c>
      <c r="E50" s="15">
        <f>IFERROR(__xludf.DUMMYFUNCTION("""COMPUTED_VALUE"""),12.0)</f>
        <v>12</v>
      </c>
      <c r="F50" s="17">
        <f>IFERROR(__xludf.DUMMYFUNCTION("""COMPUTED_VALUE"""),0.02)</f>
        <v>0.02</v>
      </c>
      <c r="G50" s="15" t="str">
        <f>IFERROR(__xludf.DUMMYFUNCTION("""COMPUTED_VALUE"""),"TITOLARI")</f>
        <v>TITOLARI</v>
      </c>
      <c r="H50" s="11"/>
      <c r="I50" s="15"/>
    </row>
    <row r="51">
      <c r="A51" s="11">
        <f>IFERROR(__xludf.DUMMYFUNCTION("""COMPUTED_VALUE"""),7129.0)</f>
        <v>7129</v>
      </c>
      <c r="B51" s="11" t="str">
        <f>IFERROR(__xludf.DUMMYFUNCTION("""COMPUTED_VALUE"""),"C")</f>
        <v>C</v>
      </c>
      <c r="C51" s="11" t="str">
        <f>IFERROR(__xludf.DUMMYFUNCTION("""COMPUTED_VALUE"""),"Rodriguez Je.")</f>
        <v>Rodriguez Je.</v>
      </c>
      <c r="D51" s="11" t="str">
        <f>IFERROR(__xludf.DUMMYFUNCTION("""COMPUTED_VALUE"""),"Como")</f>
        <v>Como</v>
      </c>
      <c r="E51" s="15">
        <f>IFERROR(__xludf.DUMMYFUNCTION("""COMPUTED_VALUE"""),12.0)</f>
        <v>12</v>
      </c>
      <c r="F51" s="17">
        <f>IFERROR(__xludf.DUMMYFUNCTION("""COMPUTED_VALUE"""),0.02)</f>
        <v>0.02</v>
      </c>
      <c r="G51" s="15" t="str">
        <f>IFERROR(__xludf.DUMMYFUNCTION("""COMPUTED_VALUE"""),"TITOLARI")</f>
        <v>TITOLARI</v>
      </c>
      <c r="H51" s="11"/>
      <c r="I51" s="15"/>
    </row>
    <row r="52">
      <c r="A52" s="11">
        <f>IFERROR(__xludf.DUMMYFUNCTION("""COMPUTED_VALUE"""),1933.0)</f>
        <v>1933</v>
      </c>
      <c r="B52" s="11" t="str">
        <f>IFERROR(__xludf.DUMMYFUNCTION("""COMPUTED_VALUE"""),"C")</f>
        <v>C</v>
      </c>
      <c r="C52" s="13" t="str">
        <f>IFERROR(__xludf.DUMMYFUNCTION("""COMPUTED_VALUE"""),"Mandragora")</f>
        <v>Mandragora</v>
      </c>
      <c r="D52" s="11" t="str">
        <f>IFERROR(__xludf.DUMMYFUNCTION("""COMPUTED_VALUE"""),"Torino")</f>
        <v>Torino</v>
      </c>
      <c r="E52" s="15">
        <f>IFERROR(__xludf.DUMMYFUNCTION("""COMPUTED_VALUE"""),12.0)</f>
        <v>12</v>
      </c>
      <c r="F52" s="17">
        <f>IFERROR(__xludf.DUMMYFUNCTION("""COMPUTED_VALUE"""),0.02)</f>
        <v>0.02</v>
      </c>
      <c r="G52" s="15" t="str">
        <f>IFERROR(__xludf.DUMMYFUNCTION("""COMPUTED_VALUE"""),"TITOLARI")</f>
        <v>TITOLARI</v>
      </c>
      <c r="H52" s="11"/>
      <c r="I52" s="15"/>
    </row>
    <row r="53">
      <c r="A53" s="11">
        <f>IFERROR(__xludf.DUMMYFUNCTION("""COMPUTED_VALUE"""),2077.0)</f>
        <v>2077</v>
      </c>
      <c r="B53" s="11" t="str">
        <f>IFERROR(__xludf.DUMMYFUNCTION("""COMPUTED_VALUE"""),"C")</f>
        <v>C</v>
      </c>
      <c r="C53" s="11" t="str">
        <f>IFERROR(__xludf.DUMMYFUNCTION("""COMPUTED_VALUE"""),"Pasalic")</f>
        <v>Pasalic</v>
      </c>
      <c r="D53" s="11" t="str">
        <f>IFERROR(__xludf.DUMMYFUNCTION("""COMPUTED_VALUE"""),"Atalanta")</f>
        <v>Atalanta</v>
      </c>
      <c r="E53" s="15">
        <f>IFERROR(__xludf.DUMMYFUNCTION("""COMPUTED_VALUE"""),9.0)</f>
        <v>9</v>
      </c>
      <c r="F53" s="17">
        <f>IFERROR(__xludf.DUMMYFUNCTION("""COMPUTED_VALUE"""),0.0155)</f>
        <v>0.0155</v>
      </c>
      <c r="G53" s="15" t="str">
        <f>IFERROR(__xludf.DUMMYFUNCTION("""COMPUTED_VALUE"""),"TITOLARI")</f>
        <v>TITOLARI</v>
      </c>
      <c r="H53" s="11"/>
      <c r="I53" s="15"/>
    </row>
    <row r="54">
      <c r="A54" s="11">
        <f>IFERROR(__xludf.DUMMYFUNCTION("""COMPUTED_VALUE"""),827.0)</f>
        <v>827</v>
      </c>
      <c r="B54" s="11" t="str">
        <f>IFERROR(__xludf.DUMMYFUNCTION("""COMPUTED_VALUE"""),"C")</f>
        <v>C</v>
      </c>
      <c r="C54" s="11" t="str">
        <f>IFERROR(__xludf.DUMMYFUNCTION("""COMPUTED_VALUE"""),"Locatelli")</f>
        <v>Locatelli</v>
      </c>
      <c r="D54" s="11" t="str">
        <f>IFERROR(__xludf.DUMMYFUNCTION("""COMPUTED_VALUE"""),"Juventus")</f>
        <v>Juventus</v>
      </c>
      <c r="E54" s="15">
        <f>IFERROR(__xludf.DUMMYFUNCTION("""COMPUTED_VALUE"""),6.0)</f>
        <v>6</v>
      </c>
      <c r="F54" s="17">
        <f>IFERROR(__xludf.DUMMYFUNCTION("""COMPUTED_VALUE"""),0.01)</f>
        <v>0.01</v>
      </c>
      <c r="G54" s="15" t="str">
        <f>IFERROR(__xludf.DUMMYFUNCTION("""COMPUTED_VALUE"""),"TITOLARI")</f>
        <v>TITOLARI</v>
      </c>
      <c r="H54" s="11"/>
      <c r="I54" s="15"/>
    </row>
    <row r="55">
      <c r="A55" s="11">
        <f>IFERROR(__xludf.DUMMYFUNCTION("""COMPUTED_VALUE"""),5562.0)</f>
        <v>5562</v>
      </c>
      <c r="B55" s="11" t="str">
        <f>IFERROR(__xludf.DUMMYFUNCTION("""COMPUTED_VALUE"""),"C")</f>
        <v>C</v>
      </c>
      <c r="C55" s="11" t="str">
        <f>IFERROR(__xludf.DUMMYFUNCTION("""COMPUTED_VALUE"""),"Thuram K.")</f>
        <v>Thuram K.</v>
      </c>
      <c r="D55" s="11" t="str">
        <f>IFERROR(__xludf.DUMMYFUNCTION("""COMPUTED_VALUE"""),"Juventus")</f>
        <v>Juventus</v>
      </c>
      <c r="E55" s="15">
        <f>IFERROR(__xludf.DUMMYFUNCTION("""COMPUTED_VALUE"""),6.0)</f>
        <v>6</v>
      </c>
      <c r="F55" s="17">
        <f>IFERROR(__xludf.DUMMYFUNCTION("""COMPUTED_VALUE"""),0.01)</f>
        <v>0.01</v>
      </c>
      <c r="G55" s="15" t="str">
        <f>IFERROR(__xludf.DUMMYFUNCTION("""COMPUTED_VALUE"""),"TITOLARI")</f>
        <v>TITOLARI</v>
      </c>
      <c r="H55" s="11"/>
      <c r="I55" s="15"/>
    </row>
    <row r="56">
      <c r="A56" s="11">
        <f>IFERROR(__xludf.DUMMYFUNCTION("""COMPUTED_VALUE"""),2765.0)</f>
        <v>2765</v>
      </c>
      <c r="B56" s="11" t="str">
        <f>IFERROR(__xludf.DUMMYFUNCTION("""COMPUTED_VALUE"""),"C")</f>
        <v>C</v>
      </c>
      <c r="C56" s="11" t="str">
        <f>IFERROR(__xludf.DUMMYFUNCTION("""COMPUTED_VALUE"""),"Odgaard")</f>
        <v>Odgaard</v>
      </c>
      <c r="D56" s="11" t="str">
        <f>IFERROR(__xludf.DUMMYFUNCTION("""COMPUTED_VALUE"""),"Bologna")</f>
        <v>Bologna</v>
      </c>
      <c r="E56" s="15">
        <f>IFERROR(__xludf.DUMMYFUNCTION("""COMPUTED_VALUE"""),6.0)</f>
        <v>6</v>
      </c>
      <c r="F56" s="17">
        <f>IFERROR(__xludf.DUMMYFUNCTION("""COMPUTED_VALUE"""),0.01)</f>
        <v>0.01</v>
      </c>
      <c r="G56" s="15" t="str">
        <f>IFERROR(__xludf.DUMMYFUNCTION("""COMPUTED_VALUE"""),"TITOLARI")</f>
        <v>TITOLARI</v>
      </c>
      <c r="H56" s="11"/>
      <c r="I56" s="15"/>
    </row>
    <row r="57">
      <c r="A57" s="11">
        <f>IFERROR(__xludf.DUMMYFUNCTION("""COMPUTED_VALUE"""),4199.0)</f>
        <v>4199</v>
      </c>
      <c r="B57" s="11" t="str">
        <f>IFERROR(__xludf.DUMMYFUNCTION("""COMPUTED_VALUE"""),"C")</f>
        <v>C</v>
      </c>
      <c r="C57" s="13" t="str">
        <f>IFERROR(__xludf.DUMMYFUNCTION("""COMPUTED_VALUE"""),"Loftus-Cheek")</f>
        <v>Loftus-Cheek</v>
      </c>
      <c r="D57" s="11" t="str">
        <f>IFERROR(__xludf.DUMMYFUNCTION("""COMPUTED_VALUE"""),"Milan")</f>
        <v>Milan</v>
      </c>
      <c r="E57" s="15">
        <f>IFERROR(__xludf.DUMMYFUNCTION("""COMPUTED_VALUE"""),6.0)</f>
        <v>6</v>
      </c>
      <c r="F57" s="17">
        <f>IFERROR(__xludf.DUMMYFUNCTION("""COMPUTED_VALUE"""),0.01)</f>
        <v>0.01</v>
      </c>
      <c r="G57" s="15" t="str">
        <f>IFERROR(__xludf.DUMMYFUNCTION("""COMPUTED_VALUE"""),"TITOLARI")</f>
        <v>TITOLARI</v>
      </c>
      <c r="H57" s="11"/>
      <c r="I57" s="15"/>
    </row>
    <row r="58">
      <c r="A58" s="11">
        <f>IFERROR(__xludf.DUMMYFUNCTION("""COMPUTED_VALUE"""),5172.0)</f>
        <v>5172</v>
      </c>
      <c r="B58" s="11" t="str">
        <f>IFERROR(__xludf.DUMMYFUNCTION("""COMPUTED_VALUE"""),"C")</f>
        <v>C</v>
      </c>
      <c r="C58" s="11" t="str">
        <f>IFERROR(__xludf.DUMMYFUNCTION("""COMPUTED_VALUE"""),"Jones C.")</f>
        <v>Jones C.</v>
      </c>
      <c r="D58" s="11" t="str">
        <f>IFERROR(__xludf.DUMMYFUNCTION("""COMPUTED_VALUE"""),"Inter")</f>
        <v>Inter</v>
      </c>
      <c r="E58" s="15">
        <f>IFERROR(__xludf.DUMMYFUNCTION("""COMPUTED_VALUE"""),28.0)</f>
        <v>28</v>
      </c>
      <c r="F58" s="17">
        <f>IFERROR(__xludf.DUMMYFUNCTION("""COMPUTED_VALUE"""),0.047)</f>
        <v>0.047</v>
      </c>
      <c r="G58" s="15"/>
      <c r="H58" s="11"/>
      <c r="I58" s="15"/>
    </row>
    <row r="59">
      <c r="A59" s="11">
        <f>IFERROR(__xludf.DUMMYFUNCTION("""COMPUTED_VALUE"""),5844.0)</f>
        <v>5844</v>
      </c>
      <c r="B59" s="11" t="str">
        <f>IFERROR(__xludf.DUMMYFUNCTION("""COMPUTED_VALUE"""),"C")</f>
        <v>C</v>
      </c>
      <c r="C59" s="11" t="str">
        <f>IFERROR(__xludf.DUMMYFUNCTION("""COMPUTED_VALUE"""),"Thorstvedt")</f>
        <v>Thorstvedt</v>
      </c>
      <c r="D59" s="11" t="str">
        <f>IFERROR(__xludf.DUMMYFUNCTION("""COMPUTED_VALUE"""),"Sassuolo")</f>
        <v>Sassuolo</v>
      </c>
      <c r="E59" s="15">
        <f>IFERROR(__xludf.DUMMYFUNCTION("""COMPUTED_VALUE"""),23.0)</f>
        <v>23</v>
      </c>
      <c r="F59" s="17">
        <f>IFERROR(__xludf.DUMMYFUNCTION("""COMPUTED_VALUE"""),0.039)</f>
        <v>0.039</v>
      </c>
      <c r="G59" s="15"/>
      <c r="H59" s="11"/>
      <c r="I59" s="15"/>
    </row>
    <row r="60">
      <c r="A60" s="11">
        <f>IFERROR(__xludf.DUMMYFUNCTION("""COMPUTED_VALUE"""),536.0)</f>
        <v>536</v>
      </c>
      <c r="B60" s="11" t="str">
        <f>IFERROR(__xludf.DUMMYFUNCTION("""COMPUTED_VALUE"""),"C")</f>
        <v>C</v>
      </c>
      <c r="C60" s="11" t="str">
        <f>IFERROR(__xludf.DUMMYFUNCTION("""COMPUTED_VALUE"""),"Politano")</f>
        <v>Politano</v>
      </c>
      <c r="D60" s="11" t="str">
        <f>IFERROR(__xludf.DUMMYFUNCTION("""COMPUTED_VALUE"""),"Napoli")</f>
        <v>Napoli</v>
      </c>
      <c r="E60" s="15">
        <f>IFERROR(__xludf.DUMMYFUNCTION("""COMPUTED_VALUE"""),22.0)</f>
        <v>22</v>
      </c>
      <c r="F60" s="17">
        <f>IFERROR(__xludf.DUMMYFUNCTION("""COMPUTED_VALUE"""),0.037)</f>
        <v>0.037</v>
      </c>
      <c r="G60" s="15"/>
      <c r="H60" s="11"/>
      <c r="I60" s="15"/>
    </row>
    <row r="61">
      <c r="A61" s="11">
        <f>IFERROR(__xludf.DUMMYFUNCTION("""COMPUTED_VALUE"""),6151.0)</f>
        <v>6151</v>
      </c>
      <c r="B61" s="11" t="str">
        <f>IFERROR(__xludf.DUMMYFUNCTION("""COMPUTED_VALUE"""),"C")</f>
        <v>C</v>
      </c>
      <c r="C61" s="11" t="str">
        <f>IFERROR(__xludf.DUMMYFUNCTION("""COMPUTED_VALUE"""),"Perrone")</f>
        <v>Perrone</v>
      </c>
      <c r="D61" s="11" t="str">
        <f>IFERROR(__xludf.DUMMYFUNCTION("""COMPUTED_VALUE"""),"Como")</f>
        <v>Como</v>
      </c>
      <c r="E61" s="15">
        <f>IFERROR(__xludf.DUMMYFUNCTION("""COMPUTED_VALUE"""),20.0)</f>
        <v>20</v>
      </c>
      <c r="F61" s="17">
        <f>IFERROR(__xludf.DUMMYFUNCTION("""COMPUTED_VALUE"""),0.034)</f>
        <v>0.034</v>
      </c>
      <c r="G61" s="15"/>
      <c r="H61" s="11"/>
      <c r="I61" s="15"/>
    </row>
    <row r="62">
      <c r="A62" s="11">
        <f>IFERROR(__xludf.DUMMYFUNCTION("""COMPUTED_VALUE"""),6666.0)</f>
        <v>6666</v>
      </c>
      <c r="B62" s="11" t="str">
        <f>IFERROR(__xludf.DUMMYFUNCTION("""COMPUTED_VALUE"""),"C")</f>
        <v>C</v>
      </c>
      <c r="C62" s="11" t="str">
        <f>IFERROR(__xludf.DUMMYFUNCTION("""COMPUTED_VALUE"""),"Bernabè")</f>
        <v>Bernabè</v>
      </c>
      <c r="D62" s="11" t="str">
        <f>IFERROR(__xludf.DUMMYFUNCTION("""COMPUTED_VALUE"""),"Parma")</f>
        <v>Parma</v>
      </c>
      <c r="E62" s="15">
        <f>IFERROR(__xludf.DUMMYFUNCTION("""COMPUTED_VALUE"""),20.0)</f>
        <v>20</v>
      </c>
      <c r="F62" s="17">
        <f>IFERROR(__xludf.DUMMYFUNCTION("""COMPUTED_VALUE"""),0.034)</f>
        <v>0.034</v>
      </c>
      <c r="G62" s="15"/>
      <c r="H62" s="11"/>
      <c r="I62" s="15"/>
    </row>
    <row r="63">
      <c r="A63" s="11">
        <f>IFERROR(__xludf.DUMMYFUNCTION("""COMPUTED_VALUE"""),4364.0)</f>
        <v>4364</v>
      </c>
      <c r="B63" s="11" t="str">
        <f>IFERROR(__xludf.DUMMYFUNCTION("""COMPUTED_VALUE"""),"C")</f>
        <v>C</v>
      </c>
      <c r="C63" s="11" t="str">
        <f>IFERROR(__xludf.DUMMYFUNCTION("""COMPUTED_VALUE"""),"Gaetano")</f>
        <v>Gaetano</v>
      </c>
      <c r="D63" s="11" t="str">
        <f>IFERROR(__xludf.DUMMYFUNCTION("""COMPUTED_VALUE"""),"Atalanta")</f>
        <v>Atalanta</v>
      </c>
      <c r="E63" s="15">
        <f>IFERROR(__xludf.DUMMYFUNCTION("""COMPUTED_VALUE"""),18.0)</f>
        <v>18</v>
      </c>
      <c r="F63" s="17">
        <f>IFERROR(__xludf.DUMMYFUNCTION("""COMPUTED_VALUE"""),0.03)</f>
        <v>0.03</v>
      </c>
      <c r="G63" s="15"/>
      <c r="H63" s="11"/>
      <c r="I63" s="15"/>
    </row>
    <row r="64">
      <c r="A64" s="11">
        <f>IFERROR(__xludf.DUMMYFUNCTION("""COMPUTED_VALUE"""),7412.0)</f>
        <v>7412</v>
      </c>
      <c r="B64" s="11" t="str">
        <f>IFERROR(__xludf.DUMMYFUNCTION("""COMPUTED_VALUE"""),"C")</f>
        <v>C</v>
      </c>
      <c r="C64" s="11" t="str">
        <f>IFERROR(__xludf.DUMMYFUNCTION("""COMPUTED_VALUE"""),"Milla")</f>
        <v>Milla</v>
      </c>
      <c r="D64" s="11" t="str">
        <f>IFERROR(__xludf.DUMMYFUNCTION("""COMPUTED_VALUE"""),"Como")</f>
        <v>Como</v>
      </c>
      <c r="E64" s="15">
        <f>IFERROR(__xludf.DUMMYFUNCTION("""COMPUTED_VALUE"""),18.0)</f>
        <v>18</v>
      </c>
      <c r="F64" s="17">
        <f>IFERROR(__xludf.DUMMYFUNCTION("""COMPUTED_VALUE"""),0.03)</f>
        <v>0.03</v>
      </c>
      <c r="G64" s="15"/>
      <c r="H64" s="11"/>
      <c r="I64" s="15"/>
    </row>
    <row r="65">
      <c r="A65" s="11">
        <f>IFERROR(__xludf.DUMMYFUNCTION("""COMPUTED_VALUE"""),5823.0)</f>
        <v>5823</v>
      </c>
      <c r="B65" s="11" t="str">
        <f>IFERROR(__xludf.DUMMYFUNCTION("""COMPUTED_VALUE"""),"C")</f>
        <v>C</v>
      </c>
      <c r="C65" s="11" t="str">
        <f>IFERROR(__xludf.DUMMYFUNCTION("""COMPUTED_VALUE"""),"Baldanzi")</f>
        <v>Baldanzi</v>
      </c>
      <c r="D65" s="11" t="str">
        <f>IFERROR(__xludf.DUMMYFUNCTION("""COMPUTED_VALUE"""),"Genoa")</f>
        <v>Genoa</v>
      </c>
      <c r="E65" s="15">
        <f>IFERROR(__xludf.DUMMYFUNCTION("""COMPUTED_VALUE"""),17.0)</f>
        <v>17</v>
      </c>
      <c r="F65" s="17">
        <f>IFERROR(__xludf.DUMMYFUNCTION("""COMPUTED_VALUE"""),0.028)</f>
        <v>0.028</v>
      </c>
      <c r="G65" s="15"/>
      <c r="H65" s="11"/>
      <c r="I65" s="15"/>
    </row>
    <row r="66">
      <c r="A66" s="11">
        <f>IFERROR(__xludf.DUMMYFUNCTION("""COMPUTED_VALUE"""),779.0)</f>
        <v>779</v>
      </c>
      <c r="B66" s="11" t="str">
        <f>IFERROR(__xludf.DUMMYFUNCTION("""COMPUTED_VALUE"""),"C")</f>
        <v>C</v>
      </c>
      <c r="C66" s="11" t="str">
        <f>IFERROR(__xludf.DUMMYFUNCTION("""COMPUTED_VALUE"""),"Cristante")</f>
        <v>Cristante</v>
      </c>
      <c r="D66" s="11" t="str">
        <f>IFERROR(__xludf.DUMMYFUNCTION("""COMPUTED_VALUE"""),"Roma")</f>
        <v>Roma</v>
      </c>
      <c r="E66" s="15">
        <f>IFERROR(__xludf.DUMMYFUNCTION("""COMPUTED_VALUE"""),17.0)</f>
        <v>17</v>
      </c>
      <c r="F66" s="17">
        <f>IFERROR(__xludf.DUMMYFUNCTION("""COMPUTED_VALUE"""),0.029)</f>
        <v>0.029</v>
      </c>
      <c r="G66" s="15"/>
      <c r="H66" s="11"/>
      <c r="I66" s="15"/>
    </row>
    <row r="67">
      <c r="A67" s="11">
        <f>IFERROR(__xludf.DUMMYFUNCTION("""COMPUTED_VALUE"""),6827.0)</f>
        <v>6827</v>
      </c>
      <c r="B67" s="11" t="str">
        <f>IFERROR(__xludf.DUMMYFUNCTION("""COMPUTED_VALUE"""),"C")</f>
        <v>C</v>
      </c>
      <c r="C67" s="11" t="str">
        <f>IFERROR(__xludf.DUMMYFUNCTION("""COMPUTED_VALUE"""),"Njie")</f>
        <v>Njie</v>
      </c>
      <c r="D67" s="11" t="str">
        <f>IFERROR(__xludf.DUMMYFUNCTION("""COMPUTED_VALUE"""),"Fiorentina")</f>
        <v>Fiorentina</v>
      </c>
      <c r="E67" s="15">
        <f>IFERROR(__xludf.DUMMYFUNCTION("""COMPUTED_VALUE"""),17.0)</f>
        <v>17</v>
      </c>
      <c r="F67" s="17">
        <f>IFERROR(__xludf.DUMMYFUNCTION("""COMPUTED_VALUE"""),0.028)</f>
        <v>0.028</v>
      </c>
      <c r="G67" s="15"/>
      <c r="H67" s="11"/>
      <c r="I67" s="15"/>
    </row>
    <row r="68">
      <c r="A68" s="11">
        <f>IFERROR(__xludf.DUMMYFUNCTION("""COMPUTED_VALUE"""),5888.0)</f>
        <v>5888</v>
      </c>
      <c r="B68" s="11" t="str">
        <f>IFERROR(__xludf.DUMMYFUNCTION("""COMPUTED_VALUE"""),"C")</f>
        <v>C</v>
      </c>
      <c r="C68" s="13" t="str">
        <f>IFERROR(__xludf.DUMMYFUNCTION("""COMPUTED_VALUE"""),"Casadei")</f>
        <v>Casadei</v>
      </c>
      <c r="D68" s="11" t="str">
        <f>IFERROR(__xludf.DUMMYFUNCTION("""COMPUTED_VALUE"""),"Torino")</f>
        <v>Torino</v>
      </c>
      <c r="E68" s="15">
        <f>IFERROR(__xludf.DUMMYFUNCTION("""COMPUTED_VALUE"""),16.0)</f>
        <v>16</v>
      </c>
      <c r="F68" s="17">
        <f>IFERROR(__xludf.DUMMYFUNCTION("""COMPUTED_VALUE"""),0.027)</f>
        <v>0.027</v>
      </c>
      <c r="G68" s="15"/>
      <c r="H68" s="11"/>
      <c r="I68" s="15"/>
    </row>
    <row r="69">
      <c r="A69" s="11">
        <f>IFERROR(__xludf.DUMMYFUNCTION("""COMPUTED_VALUE"""),7472.0)</f>
        <v>7472</v>
      </c>
      <c r="B69" s="11" t="str">
        <f>IFERROR(__xludf.DUMMYFUNCTION("""COMPUTED_VALUE"""),"C")</f>
        <v>C</v>
      </c>
      <c r="C69" s="11" t="str">
        <f>IFERROR(__xludf.DUMMYFUNCTION("""COMPUTED_VALUE"""),"Calò")</f>
        <v>Calò</v>
      </c>
      <c r="D69" s="11" t="str">
        <f>IFERROR(__xludf.DUMMYFUNCTION("""COMPUTED_VALUE"""),"Frosinone")</f>
        <v>Frosinone</v>
      </c>
      <c r="E69" s="15">
        <f>IFERROR(__xludf.DUMMYFUNCTION("""COMPUTED_VALUE"""),16.0)</f>
        <v>16</v>
      </c>
      <c r="F69" s="17">
        <f>IFERROR(__xludf.DUMMYFUNCTION("""COMPUTED_VALUE"""),0.027)</f>
        <v>0.027</v>
      </c>
      <c r="G69" s="15"/>
      <c r="H69" s="11"/>
      <c r="I69" s="15"/>
    </row>
    <row r="70">
      <c r="A70" s="11">
        <f>IFERROR(__xludf.DUMMYFUNCTION("""COMPUTED_VALUE"""),5735.0)</f>
        <v>5735</v>
      </c>
      <c r="B70" s="11" t="str">
        <f>IFERROR(__xludf.DUMMYFUNCTION("""COMPUTED_VALUE"""),"C")</f>
        <v>C</v>
      </c>
      <c r="C70" s="11" t="str">
        <f>IFERROR(__xludf.DUMMYFUNCTION("""COMPUTED_VALUE"""),"Volpato")</f>
        <v>Volpato</v>
      </c>
      <c r="D70" s="11" t="str">
        <f>IFERROR(__xludf.DUMMYFUNCTION("""COMPUTED_VALUE"""),"Sassuolo")</f>
        <v>Sassuolo</v>
      </c>
      <c r="E70" s="15">
        <f>IFERROR(__xludf.DUMMYFUNCTION("""COMPUTED_VALUE"""),15.0)</f>
        <v>15</v>
      </c>
      <c r="F70" s="17">
        <f>IFERROR(__xludf.DUMMYFUNCTION("""COMPUTED_VALUE"""),0.025)</f>
        <v>0.025</v>
      </c>
      <c r="G70" s="15"/>
      <c r="H70" s="11"/>
      <c r="I70" s="15"/>
    </row>
    <row r="71">
      <c r="A71" s="11">
        <f>IFERROR(__xludf.DUMMYFUNCTION("""COMPUTED_VALUE"""),7551.0)</f>
        <v>7551</v>
      </c>
      <c r="B71" s="11" t="str">
        <f>IFERROR(__xludf.DUMMYFUNCTION("""COMPUTED_VALUE"""),"C")</f>
        <v>C</v>
      </c>
      <c r="C71" s="11" t="str">
        <f>IFERROR(__xludf.DUMMYFUNCTION("""COMPUTED_VALUE"""),"Schmid")</f>
        <v>Schmid</v>
      </c>
      <c r="D71" s="11" t="str">
        <f>IFERROR(__xludf.DUMMYFUNCTION("""COMPUTED_VALUE"""),"Frosinone")</f>
        <v>Frosinone</v>
      </c>
      <c r="E71" s="15">
        <f>IFERROR(__xludf.DUMMYFUNCTION("""COMPUTED_VALUE"""),15.0)</f>
        <v>15</v>
      </c>
      <c r="F71" s="17">
        <f>IFERROR(__xludf.DUMMYFUNCTION("""COMPUTED_VALUE"""),0.025)</f>
        <v>0.025</v>
      </c>
      <c r="G71" s="15"/>
      <c r="H71" s="11"/>
      <c r="I71" s="15"/>
    </row>
    <row r="72">
      <c r="A72" s="11">
        <f>IFERROR(__xludf.DUMMYFUNCTION("""COMPUTED_VALUE"""),7618.0)</f>
        <v>7618</v>
      </c>
      <c r="B72" s="11" t="str">
        <f>IFERROR(__xludf.DUMMYFUNCTION("""COMPUTED_VALUE"""),"C")</f>
        <v>C</v>
      </c>
      <c r="C72" s="11" t="str">
        <f>IFERROR(__xludf.DUMMYFUNCTION("""COMPUTED_VALUE"""),"Hutchinson")</f>
        <v>Hutchinson</v>
      </c>
      <c r="D72" s="11" t="str">
        <f>IFERROR(__xludf.DUMMYFUNCTION("""COMPUTED_VALUE"""),"Milan")</f>
        <v>Milan</v>
      </c>
      <c r="E72" s="15">
        <f>IFERROR(__xludf.DUMMYFUNCTION("""COMPUTED_VALUE"""),15.0)</f>
        <v>15</v>
      </c>
      <c r="F72" s="17">
        <f>IFERROR(__xludf.DUMMYFUNCTION("""COMPUTED_VALUE"""),0.025)</f>
        <v>0.025</v>
      </c>
      <c r="G72" s="15"/>
      <c r="H72" s="11"/>
      <c r="I72" s="15"/>
    </row>
    <row r="73">
      <c r="A73" s="11">
        <f>IFERROR(__xludf.DUMMYFUNCTION("""COMPUTED_VALUE"""),5680.0)</f>
        <v>5680</v>
      </c>
      <c r="B73" s="11" t="str">
        <f>IFERROR(__xludf.DUMMYFUNCTION("""COMPUTED_VALUE"""),"C")</f>
        <v>C</v>
      </c>
      <c r="C73" s="11" t="str">
        <f>IFERROR(__xludf.DUMMYFUNCTION("""COMPUTED_VALUE"""),"Sarr P.")</f>
        <v>Sarr P.</v>
      </c>
      <c r="D73" s="11" t="str">
        <f>IFERROR(__xludf.DUMMYFUNCTION("""COMPUTED_VALUE"""),"Juventus")</f>
        <v>Juventus</v>
      </c>
      <c r="E73" s="15">
        <f>IFERROR(__xludf.DUMMYFUNCTION("""COMPUTED_VALUE"""),15.0)</f>
        <v>15</v>
      </c>
      <c r="F73" s="17">
        <f>IFERROR(__xludf.DUMMYFUNCTION("""COMPUTED_VALUE"""),0.025)</f>
        <v>0.025</v>
      </c>
      <c r="G73" s="15"/>
      <c r="H73" s="11"/>
      <c r="I73" s="15"/>
    </row>
    <row r="74">
      <c r="A74" s="11">
        <f>IFERROR(__xludf.DUMMYFUNCTION("""COMPUTED_VALUE"""),795.0)</f>
        <v>795</v>
      </c>
      <c r="B74" s="11" t="str">
        <f>IFERROR(__xludf.DUMMYFUNCTION("""COMPUTED_VALUE"""),"C")</f>
        <v>C</v>
      </c>
      <c r="C74" s="11" t="str">
        <f>IFERROR(__xludf.DUMMYFUNCTION("""COMPUTED_VALUE"""),"El Shaarawy")</f>
        <v>El Shaarawy</v>
      </c>
      <c r="D74" s="11" t="str">
        <f>IFERROR(__xludf.DUMMYFUNCTION("""COMPUTED_VALUE"""),"Genoa")</f>
        <v>Genoa</v>
      </c>
      <c r="E74" s="15">
        <f>IFERROR(__xludf.DUMMYFUNCTION("""COMPUTED_VALUE"""),15.0)</f>
        <v>15</v>
      </c>
      <c r="F74" s="17">
        <f>IFERROR(__xludf.DUMMYFUNCTION("""COMPUTED_VALUE"""),0.025)</f>
        <v>0.025</v>
      </c>
      <c r="G74" s="15"/>
      <c r="H74" s="11"/>
      <c r="I74" s="15"/>
    </row>
    <row r="75">
      <c r="A75" s="11">
        <f>IFERROR(__xludf.DUMMYFUNCTION("""COMPUTED_VALUE"""),4287.0)</f>
        <v>4287</v>
      </c>
      <c r="B75" s="11" t="str">
        <f>IFERROR(__xludf.DUMMYFUNCTION("""COMPUTED_VALUE"""),"C")</f>
        <v>C</v>
      </c>
      <c r="C75" s="11" t="str">
        <f>IFERROR(__xludf.DUMMYFUNCTION("""COMPUTED_VALUE"""),"Lobotka")</f>
        <v>Lobotka</v>
      </c>
      <c r="D75" s="11" t="str">
        <f>IFERROR(__xludf.DUMMYFUNCTION("""COMPUTED_VALUE"""),"Napoli")</f>
        <v>Napoli</v>
      </c>
      <c r="E75" s="15">
        <f>IFERROR(__xludf.DUMMYFUNCTION("""COMPUTED_VALUE"""),14.0)</f>
        <v>14</v>
      </c>
      <c r="F75" s="17">
        <f>IFERROR(__xludf.DUMMYFUNCTION("""COMPUTED_VALUE"""),0.023)</f>
        <v>0.023</v>
      </c>
      <c r="G75" s="15"/>
      <c r="H75" s="11"/>
      <c r="I75" s="15"/>
    </row>
    <row r="76">
      <c r="A76" s="11">
        <f>IFERROR(__xludf.DUMMYFUNCTION("""COMPUTED_VALUE"""),5858.0)</f>
        <v>5858</v>
      </c>
      <c r="B76" s="11" t="str">
        <f>IFERROR(__xludf.DUMMYFUNCTION("""COMPUTED_VALUE"""),"C")</f>
        <v>C</v>
      </c>
      <c r="C76" s="11" t="str">
        <f>IFERROR(__xludf.DUMMYFUNCTION("""COMPUTED_VALUE"""),"Ferguson")</f>
        <v>Ferguson</v>
      </c>
      <c r="D76" s="11" t="str">
        <f>IFERROR(__xludf.DUMMYFUNCTION("""COMPUTED_VALUE"""),"Bologna")</f>
        <v>Bologna</v>
      </c>
      <c r="E76" s="15">
        <f>IFERROR(__xludf.DUMMYFUNCTION("""COMPUTED_VALUE"""),14.0)</f>
        <v>14</v>
      </c>
      <c r="F76" s="17">
        <f>IFERROR(__xludf.DUMMYFUNCTION("""COMPUTED_VALUE"""),0.023)</f>
        <v>0.023</v>
      </c>
      <c r="G76" s="15"/>
      <c r="H76" s="11"/>
      <c r="I76" s="15"/>
    </row>
    <row r="77">
      <c r="A77" s="11">
        <f>IFERROR(__xludf.DUMMYFUNCTION("""COMPUTED_VALUE"""),7619.0)</f>
        <v>7619</v>
      </c>
      <c r="B77" s="11" t="str">
        <f>IFERROR(__xludf.DUMMYFUNCTION("""COMPUTED_VALUE"""),"C")</f>
        <v>C</v>
      </c>
      <c r="C77" s="11" t="str">
        <f>IFERROR(__xludf.DUMMYFUNCTION("""COMPUTED_VALUE"""),"Monteiro J.")</f>
        <v>Monteiro J.</v>
      </c>
      <c r="D77" s="11" t="str">
        <f>IFERROR(__xludf.DUMMYFUNCTION("""COMPUTED_VALUE"""),"Lecce")</f>
        <v>Lecce</v>
      </c>
      <c r="E77" s="15">
        <f>IFERROR(__xludf.DUMMYFUNCTION("""COMPUTED_VALUE"""),14.0)</f>
        <v>14</v>
      </c>
      <c r="F77" s="17">
        <f>IFERROR(__xludf.DUMMYFUNCTION("""COMPUTED_VALUE"""),0.023)</f>
        <v>0.023</v>
      </c>
      <c r="G77" s="15"/>
      <c r="H77" s="11"/>
      <c r="I77" s="15"/>
    </row>
    <row r="78">
      <c r="A78" s="11">
        <f>IFERROR(__xludf.DUMMYFUNCTION("""COMPUTED_VALUE"""),6010.0)</f>
        <v>6010</v>
      </c>
      <c r="B78" s="11" t="str">
        <f>IFERROR(__xludf.DUMMYFUNCTION("""COMPUTED_VALUE"""),"C")</f>
        <v>C</v>
      </c>
      <c r="C78" s="11" t="str">
        <f>IFERROR(__xludf.DUMMYFUNCTION("""COMPUTED_VALUE"""),"Fazzini")</f>
        <v>Fazzini</v>
      </c>
      <c r="D78" s="11" t="str">
        <f>IFERROR(__xludf.DUMMYFUNCTION("""COMPUTED_VALUE"""),"Cagliari")</f>
        <v>Cagliari</v>
      </c>
      <c r="E78" s="15">
        <f>IFERROR(__xludf.DUMMYFUNCTION("""COMPUTED_VALUE"""),14.0)</f>
        <v>14</v>
      </c>
      <c r="F78" s="17">
        <f>IFERROR(__xludf.DUMMYFUNCTION("""COMPUTED_VALUE"""),0.023)</f>
        <v>0.023</v>
      </c>
      <c r="G78" s="15"/>
      <c r="H78" s="11"/>
      <c r="I78" s="15"/>
    </row>
    <row r="79">
      <c r="A79" s="11">
        <f>IFERROR(__xludf.DUMMYFUNCTION("""COMPUTED_VALUE"""),6618.0)</f>
        <v>6618</v>
      </c>
      <c r="B79" s="11" t="str">
        <f>IFERROR(__xludf.DUMMYFUNCTION("""COMPUTED_VALUE"""),"C")</f>
        <v>C</v>
      </c>
      <c r="C79" s="11" t="str">
        <f>IFERROR(__xludf.DUMMYFUNCTION("""COMPUTED_VALUE"""),"Cissè A.")</f>
        <v>Cissè A.</v>
      </c>
      <c r="D79" s="11" t="str">
        <f>IFERROR(__xludf.DUMMYFUNCTION("""COMPUTED_VALUE"""),"Milan")</f>
        <v>Milan</v>
      </c>
      <c r="E79" s="15">
        <f>IFERROR(__xludf.DUMMYFUNCTION("""COMPUTED_VALUE"""),14.0)</f>
        <v>14</v>
      </c>
      <c r="F79" s="17">
        <f>IFERROR(__xludf.DUMMYFUNCTION("""COMPUTED_VALUE"""),0.024)</f>
        <v>0.024</v>
      </c>
      <c r="G79" s="15"/>
      <c r="H79" s="11"/>
      <c r="I79" s="15"/>
    </row>
    <row r="80">
      <c r="A80" s="11">
        <f>IFERROR(__xludf.DUMMYFUNCTION("""COMPUTED_VALUE"""),7070.0)</f>
        <v>7070</v>
      </c>
      <c r="B80" s="11" t="str">
        <f>IFERROR(__xludf.DUMMYFUNCTION("""COMPUTED_VALUE"""),"C")</f>
        <v>C</v>
      </c>
      <c r="C80" s="11" t="str">
        <f>IFERROR(__xludf.DUMMYFUNCTION("""COMPUTED_VALUE"""),"Sucic P.")</f>
        <v>Sucic P.</v>
      </c>
      <c r="D80" s="11" t="str">
        <f>IFERROR(__xludf.DUMMYFUNCTION("""COMPUTED_VALUE"""),"Inter")</f>
        <v>Inter</v>
      </c>
      <c r="E80" s="15">
        <f>IFERROR(__xludf.DUMMYFUNCTION("""COMPUTED_VALUE"""),13.0)</f>
        <v>13</v>
      </c>
      <c r="F80" s="17">
        <f>IFERROR(__xludf.DUMMYFUNCTION("""COMPUTED_VALUE"""),0.021)</f>
        <v>0.021</v>
      </c>
      <c r="G80" s="15"/>
      <c r="H80" s="11"/>
      <c r="I80" s="15"/>
    </row>
    <row r="81">
      <c r="A81" s="11">
        <f>IFERROR(__xludf.DUMMYFUNCTION("""COMPUTED_VALUE"""),4856.0)</f>
        <v>4856</v>
      </c>
      <c r="B81" s="11" t="str">
        <f>IFERROR(__xludf.DUMMYFUNCTION("""COMPUTED_VALUE"""),"C")</f>
        <v>C</v>
      </c>
      <c r="C81" s="11" t="str">
        <f>IFERROR(__xludf.DUMMYFUNCTION("""COMPUTED_VALUE"""),"Chukwueze")</f>
        <v>Chukwueze</v>
      </c>
      <c r="D81" s="11" t="str">
        <f>IFERROR(__xludf.DUMMYFUNCTION("""COMPUTED_VALUE"""),"Milan")</f>
        <v>Milan</v>
      </c>
      <c r="E81" s="15">
        <f>IFERROR(__xludf.DUMMYFUNCTION("""COMPUTED_VALUE"""),13.0)</f>
        <v>13</v>
      </c>
      <c r="F81" s="17">
        <f>IFERROR(__xludf.DUMMYFUNCTION("""COMPUTED_VALUE"""),0.022)</f>
        <v>0.022</v>
      </c>
      <c r="G81" s="15"/>
      <c r="H81" s="11"/>
      <c r="I81" s="15"/>
    </row>
    <row r="82">
      <c r="A82" s="11">
        <f>IFERROR(__xludf.DUMMYFUNCTION("""COMPUTED_VALUE"""),7311.0)</f>
        <v>7311</v>
      </c>
      <c r="B82" s="11" t="str">
        <f>IFERROR(__xludf.DUMMYFUNCTION("""COMPUTED_VALUE"""),"C")</f>
        <v>C</v>
      </c>
      <c r="C82" s="11" t="str">
        <f>IFERROR(__xludf.DUMMYFUNCTION("""COMPUTED_VALUE"""),"Romano")</f>
        <v>Romano</v>
      </c>
      <c r="D82" s="11" t="str">
        <f>IFERROR(__xludf.DUMMYFUNCTION("""COMPUTED_VALUE"""),"Cagliari")</f>
        <v>Cagliari</v>
      </c>
      <c r="E82" s="15">
        <f>IFERROR(__xludf.DUMMYFUNCTION("""COMPUTED_VALUE"""),13.0)</f>
        <v>13</v>
      </c>
      <c r="F82" s="17">
        <f>IFERROR(__xludf.DUMMYFUNCTION("""COMPUTED_VALUE"""),0.021)</f>
        <v>0.021</v>
      </c>
      <c r="G82" s="15"/>
      <c r="H82" s="11"/>
      <c r="I82" s="15"/>
    </row>
    <row r="83">
      <c r="A83" s="11">
        <f>IFERROR(__xludf.DUMMYFUNCTION("""COMPUTED_VALUE"""),6294.0)</f>
        <v>6294</v>
      </c>
      <c r="B83" s="11" t="str">
        <f>IFERROR(__xludf.DUMMYFUNCTION("""COMPUTED_VALUE"""),"C")</f>
        <v>C</v>
      </c>
      <c r="C83" s="11" t="str">
        <f>IFERROR(__xludf.DUMMYFUNCTION("""COMPUTED_VALUE"""),"Ndour")</f>
        <v>Ndour</v>
      </c>
      <c r="D83" s="11" t="str">
        <f>IFERROR(__xludf.DUMMYFUNCTION("""COMPUTED_VALUE"""),"Fiorentina")</f>
        <v>Fiorentina</v>
      </c>
      <c r="E83" s="15">
        <f>IFERROR(__xludf.DUMMYFUNCTION("""COMPUTED_VALUE"""),13.0)</f>
        <v>13</v>
      </c>
      <c r="F83" s="17">
        <f>IFERROR(__xludf.DUMMYFUNCTION("""COMPUTED_VALUE"""),0.022)</f>
        <v>0.022</v>
      </c>
      <c r="G83" s="15"/>
      <c r="H83" s="11"/>
      <c r="I83" s="15"/>
    </row>
    <row r="84">
      <c r="A84" s="11">
        <f>IFERROR(__xludf.DUMMYFUNCTION("""COMPUTED_VALUE"""),4479.0)</f>
        <v>4479</v>
      </c>
      <c r="B84" s="11" t="str">
        <f>IFERROR(__xludf.DUMMYFUNCTION("""COMPUTED_VALUE"""),"C")</f>
        <v>C</v>
      </c>
      <c r="C84" s="11" t="str">
        <f>IFERROR(__xludf.DUMMYFUNCTION("""COMPUTED_VALUE"""),"Elmas")</f>
        <v>Elmas</v>
      </c>
      <c r="D84" s="11" t="str">
        <f>IFERROR(__xludf.DUMMYFUNCTION("""COMPUTED_VALUE"""),"Atalanta")</f>
        <v>Atalanta</v>
      </c>
      <c r="E84" s="15">
        <f>IFERROR(__xludf.DUMMYFUNCTION("""COMPUTED_VALUE"""),13.0)</f>
        <v>13</v>
      </c>
      <c r="F84" s="17">
        <f>IFERROR(__xludf.DUMMYFUNCTION("""COMPUTED_VALUE"""),0.022)</f>
        <v>0.022</v>
      </c>
      <c r="G84" s="15"/>
      <c r="H84" s="11"/>
      <c r="I84" s="15"/>
    </row>
    <row r="85">
      <c r="A85" s="11">
        <f>IFERROR(__xludf.DUMMYFUNCTION("""COMPUTED_VALUE"""),6678.0)</f>
        <v>6678</v>
      </c>
      <c r="B85" s="11" t="str">
        <f>IFERROR(__xludf.DUMMYFUNCTION("""COMPUTED_VALUE"""),"C")</f>
        <v>C</v>
      </c>
      <c r="C85" s="11" t="str">
        <f>IFERROR(__xludf.DUMMYFUNCTION("""COMPUTED_VALUE"""),"Liberali")</f>
        <v>Liberali</v>
      </c>
      <c r="D85" s="11" t="str">
        <f>IFERROR(__xludf.DUMMYFUNCTION("""COMPUTED_VALUE"""),"Como")</f>
        <v>Como</v>
      </c>
      <c r="E85" s="15">
        <f>IFERROR(__xludf.DUMMYFUNCTION("""COMPUTED_VALUE"""),13.0)</f>
        <v>13</v>
      </c>
      <c r="F85" s="17">
        <f>IFERROR(__xludf.DUMMYFUNCTION("""COMPUTED_VALUE"""),0.021)</f>
        <v>0.021</v>
      </c>
      <c r="G85" s="15"/>
      <c r="H85" s="11"/>
      <c r="I85" s="15"/>
    </row>
    <row r="86">
      <c r="A86" s="11">
        <f>IFERROR(__xludf.DUMMYFUNCTION("""COMPUTED_VALUE"""),6717.0)</f>
        <v>6717</v>
      </c>
      <c r="B86" s="11" t="str">
        <f>IFERROR(__xludf.DUMMYFUNCTION("""COMPUTED_VALUE"""),"C")</f>
        <v>C</v>
      </c>
      <c r="C86" s="11" t="str">
        <f>IFERROR(__xludf.DUMMYFUNCTION("""COMPUTED_VALUE"""),"Konè I.")</f>
        <v>Konè I.</v>
      </c>
      <c r="D86" s="11" t="str">
        <f>IFERROR(__xludf.DUMMYFUNCTION("""COMPUTED_VALUE"""),"Sassuolo")</f>
        <v>Sassuolo</v>
      </c>
      <c r="E86" s="15">
        <f>IFERROR(__xludf.DUMMYFUNCTION("""COMPUTED_VALUE"""),12.0)</f>
        <v>12</v>
      </c>
      <c r="F86" s="17">
        <f>IFERROR(__xludf.DUMMYFUNCTION("""COMPUTED_VALUE"""),0.02)</f>
        <v>0.02</v>
      </c>
      <c r="G86" s="15"/>
      <c r="H86" s="11"/>
      <c r="I86" s="15"/>
    </row>
    <row r="87">
      <c r="A87" s="11">
        <f>IFERROR(__xludf.DUMMYFUNCTION("""COMPUTED_VALUE"""),4465.0)</f>
        <v>4465</v>
      </c>
      <c r="B87" s="11" t="str">
        <f>IFERROR(__xludf.DUMMYFUNCTION("""COMPUTED_VALUE"""),"C")</f>
        <v>C</v>
      </c>
      <c r="C87" s="11" t="str">
        <f>IFERROR(__xludf.DUMMYFUNCTION("""COMPUTED_VALUE"""),"Fagioli")</f>
        <v>Fagioli</v>
      </c>
      <c r="D87" s="11" t="str">
        <f>IFERROR(__xludf.DUMMYFUNCTION("""COMPUTED_VALUE"""),"Fiorentina")</f>
        <v>Fiorentina</v>
      </c>
      <c r="E87" s="15">
        <f>IFERROR(__xludf.DUMMYFUNCTION("""COMPUTED_VALUE"""),12.0)</f>
        <v>12</v>
      </c>
      <c r="F87" s="17">
        <f>IFERROR(__xludf.DUMMYFUNCTION("""COMPUTED_VALUE"""),0.02)</f>
        <v>0.02</v>
      </c>
      <c r="G87" s="15"/>
      <c r="H87" s="11"/>
      <c r="I87" s="15"/>
    </row>
    <row r="88">
      <c r="A88" s="11">
        <f>IFERROR(__xludf.DUMMYFUNCTION("""COMPUTED_VALUE"""),6680.0)</f>
        <v>6680</v>
      </c>
      <c r="B88" s="11" t="str">
        <f>IFERROR(__xludf.DUMMYFUNCTION("""COMPUTED_VALUE"""),"C")</f>
        <v>C</v>
      </c>
      <c r="C88" s="11" t="str">
        <f>IFERROR(__xludf.DUMMYFUNCTION("""COMPUTED_VALUE"""),"Karlstrom")</f>
        <v>Karlstrom</v>
      </c>
      <c r="D88" s="11" t="str">
        <f>IFERROR(__xludf.DUMMYFUNCTION("""COMPUTED_VALUE"""),"Udinese")</f>
        <v>Udinese</v>
      </c>
      <c r="E88" s="15">
        <f>IFERROR(__xludf.DUMMYFUNCTION("""COMPUTED_VALUE"""),12.0)</f>
        <v>12</v>
      </c>
      <c r="F88" s="17">
        <f>IFERROR(__xludf.DUMMYFUNCTION("""COMPUTED_VALUE"""),0.02)</f>
        <v>0.02</v>
      </c>
      <c r="G88" s="15"/>
      <c r="H88" s="11"/>
      <c r="I88" s="15"/>
    </row>
    <row r="89">
      <c r="A89" s="11">
        <f>IFERROR(__xludf.DUMMYFUNCTION("""COMPUTED_VALUE"""),7624.0)</f>
        <v>7624</v>
      </c>
      <c r="B89" s="11" t="str">
        <f>IFERROR(__xludf.DUMMYFUNCTION("""COMPUTED_VALUE"""),"C")</f>
        <v>C</v>
      </c>
      <c r="C89" s="11" t="str">
        <f>IFERROR(__xludf.DUMMYFUNCTION("""COMPUTED_VALUE"""),"Braganca")</f>
        <v>Braganca</v>
      </c>
      <c r="D89" s="11" t="str">
        <f>IFERROR(__xludf.DUMMYFUNCTION("""COMPUTED_VALUE"""),"Torino")</f>
        <v>Torino</v>
      </c>
      <c r="E89" s="15">
        <f>IFERROR(__xludf.DUMMYFUNCTION("""COMPUTED_VALUE"""),12.0)</f>
        <v>12</v>
      </c>
      <c r="F89" s="17">
        <f>IFERROR(__xludf.DUMMYFUNCTION("""COMPUTED_VALUE"""),0.02)</f>
        <v>0.02</v>
      </c>
      <c r="G89" s="15"/>
      <c r="H89" s="11"/>
      <c r="I89" s="15"/>
    </row>
    <row r="90">
      <c r="A90" s="11">
        <f>IFERROR(__xludf.DUMMYFUNCTION("""COMPUTED_VALUE"""),5422.0)</f>
        <v>5422</v>
      </c>
      <c r="B90" s="11" t="str">
        <f>IFERROR(__xludf.DUMMYFUNCTION("""COMPUTED_VALUE"""),"C")</f>
        <v>C</v>
      </c>
      <c r="C90" s="11" t="str">
        <f>IFERROR(__xludf.DUMMYFUNCTION("""COMPUTED_VALUE"""),"Zalewski")</f>
        <v>Zalewski</v>
      </c>
      <c r="D90" s="11" t="str">
        <f>IFERROR(__xludf.DUMMYFUNCTION("""COMPUTED_VALUE"""),"Atalanta")</f>
        <v>Atalanta</v>
      </c>
      <c r="E90" s="15">
        <f>IFERROR(__xludf.DUMMYFUNCTION("""COMPUTED_VALUE"""),11.0)</f>
        <v>11</v>
      </c>
      <c r="F90" s="17">
        <f>IFERROR(__xludf.DUMMYFUNCTION("""COMPUTED_VALUE"""),0.018)</f>
        <v>0.018</v>
      </c>
      <c r="G90" s="15"/>
      <c r="H90" s="11"/>
      <c r="I90" s="15"/>
    </row>
    <row r="91">
      <c r="A91" s="11">
        <f>IFERROR(__xludf.DUMMYFUNCTION("""COMPUTED_VALUE"""),5791.0)</f>
        <v>5791</v>
      </c>
      <c r="B91" s="11" t="str">
        <f>IFERROR(__xludf.DUMMYFUNCTION("""COMPUTED_VALUE"""),"C")</f>
        <v>C</v>
      </c>
      <c r="C91" s="11" t="str">
        <f>IFERROR(__xludf.DUMMYFUNCTION("""COMPUTED_VALUE"""),"Frendrup")</f>
        <v>Frendrup</v>
      </c>
      <c r="D91" s="11" t="str">
        <f>IFERROR(__xludf.DUMMYFUNCTION("""COMPUTED_VALUE"""),"Genoa")</f>
        <v>Genoa</v>
      </c>
      <c r="E91" s="15">
        <f>IFERROR(__xludf.DUMMYFUNCTION("""COMPUTED_VALUE"""),11.0)</f>
        <v>11</v>
      </c>
      <c r="F91" s="17">
        <f>IFERROR(__xludf.DUMMYFUNCTION("""COMPUTED_VALUE"""),0.019)</f>
        <v>0.019</v>
      </c>
      <c r="G91" s="15"/>
      <c r="H91" s="11"/>
      <c r="I91" s="15"/>
    </row>
    <row r="92">
      <c r="A92" s="11">
        <f>IFERROR(__xludf.DUMMYFUNCTION("""COMPUTED_VALUE"""),6190.0)</f>
        <v>6190</v>
      </c>
      <c r="B92" s="11" t="str">
        <f>IFERROR(__xludf.DUMMYFUNCTION("""COMPUTED_VALUE"""),"C")</f>
        <v>C</v>
      </c>
      <c r="C92" s="11" t="str">
        <f>IFERROR(__xludf.DUMMYFUNCTION("""COMPUTED_VALUE"""),"Pisilli")</f>
        <v>Pisilli</v>
      </c>
      <c r="D92" s="11" t="str">
        <f>IFERROR(__xludf.DUMMYFUNCTION("""COMPUTED_VALUE"""),"Roma")</f>
        <v>Roma</v>
      </c>
      <c r="E92" s="15">
        <f>IFERROR(__xludf.DUMMYFUNCTION("""COMPUTED_VALUE"""),11.0)</f>
        <v>11</v>
      </c>
      <c r="F92" s="17">
        <f>IFERROR(__xludf.DUMMYFUNCTION("""COMPUTED_VALUE"""),0.019)</f>
        <v>0.019</v>
      </c>
      <c r="G92" s="15"/>
      <c r="H92" s="11"/>
      <c r="I92" s="15"/>
    </row>
    <row r="93">
      <c r="A93" s="11">
        <f>IFERROR(__xludf.DUMMYFUNCTION("""COMPUTED_VALUE"""),7464.0)</f>
        <v>7464</v>
      </c>
      <c r="B93" s="11" t="str">
        <f>IFERROR(__xludf.DUMMYFUNCTION("""COMPUTED_VALUE"""),"C")</f>
        <v>C</v>
      </c>
      <c r="C93" s="11" t="str">
        <f>IFERROR(__xludf.DUMMYFUNCTION("""COMPUTED_VALUE"""),"Oulai")</f>
        <v>Oulai</v>
      </c>
      <c r="D93" s="11" t="str">
        <f>IFERROR(__xludf.DUMMYFUNCTION("""COMPUTED_VALUE"""),"Fiorentina")</f>
        <v>Fiorentina</v>
      </c>
      <c r="E93" s="15">
        <f>IFERROR(__xludf.DUMMYFUNCTION("""COMPUTED_VALUE"""),11.0)</f>
        <v>11</v>
      </c>
      <c r="F93" s="17">
        <f>IFERROR(__xludf.DUMMYFUNCTION("""COMPUTED_VALUE"""),0.018)</f>
        <v>0.018</v>
      </c>
      <c r="G93" s="15"/>
      <c r="H93" s="11"/>
      <c r="I93" s="15"/>
    </row>
    <row r="94">
      <c r="A94" s="11">
        <f>IFERROR(__xludf.DUMMYFUNCTION("""COMPUTED_VALUE"""),6549.0)</f>
        <v>6549</v>
      </c>
      <c r="B94" s="11" t="str">
        <f>IFERROR(__xludf.DUMMYFUNCTION("""COMPUTED_VALUE"""),"C")</f>
        <v>C</v>
      </c>
      <c r="C94" s="11" t="str">
        <f>IFERROR(__xludf.DUMMYFUNCTION("""COMPUTED_VALUE"""),"Pierotti")</f>
        <v>Pierotti</v>
      </c>
      <c r="D94" s="11" t="str">
        <f>IFERROR(__xludf.DUMMYFUNCTION("""COMPUTED_VALUE"""),"Lecce")</f>
        <v>Lecce</v>
      </c>
      <c r="E94" s="15">
        <f>IFERROR(__xludf.DUMMYFUNCTION("""COMPUTED_VALUE"""),11.0)</f>
        <v>11</v>
      </c>
      <c r="F94" s="17">
        <f>IFERROR(__xludf.DUMMYFUNCTION("""COMPUTED_VALUE"""),0.019)</f>
        <v>0.019</v>
      </c>
      <c r="G94" s="15"/>
      <c r="H94" s="11"/>
      <c r="I94" s="15"/>
    </row>
    <row r="95">
      <c r="A95" s="11">
        <f>IFERROR(__xludf.DUMMYFUNCTION("""COMPUTED_VALUE"""),5674.0)</f>
        <v>5674</v>
      </c>
      <c r="B95" s="11" t="str">
        <f>IFERROR(__xludf.DUMMYFUNCTION("""COMPUTED_VALUE"""),"C")</f>
        <v>C</v>
      </c>
      <c r="C95" s="11" t="str">
        <f>IFERROR(__xludf.DUMMYFUNCTION("""COMPUTED_VALUE"""),"Basic")</f>
        <v>Basic</v>
      </c>
      <c r="D95" s="11" t="str">
        <f>IFERROR(__xludf.DUMMYFUNCTION("""COMPUTED_VALUE"""),"Venezia")</f>
        <v>Venezia</v>
      </c>
      <c r="E95" s="15">
        <f>IFERROR(__xludf.DUMMYFUNCTION("""COMPUTED_VALUE"""),11.0)</f>
        <v>11</v>
      </c>
      <c r="F95" s="17">
        <f>IFERROR(__xludf.DUMMYFUNCTION("""COMPUTED_VALUE"""),0.019)</f>
        <v>0.019</v>
      </c>
      <c r="G95" s="15"/>
      <c r="H95" s="11"/>
      <c r="I95" s="15"/>
    </row>
    <row r="96">
      <c r="A96" s="11">
        <f>IFERROR(__xludf.DUMMYFUNCTION("""COMPUTED_VALUE"""),7535.0)</f>
        <v>7535</v>
      </c>
      <c r="B96" s="11" t="str">
        <f>IFERROR(__xludf.DUMMYFUNCTION("""COMPUTED_VALUE"""),"C")</f>
        <v>C</v>
      </c>
      <c r="C96" s="11" t="str">
        <f>IFERROR(__xludf.DUMMYFUNCTION("""COMPUTED_VALUE"""),"Fitz-Jim")</f>
        <v>Fitz-Jim</v>
      </c>
      <c r="D96" s="11" t="str">
        <f>IFERROR(__xludf.DUMMYFUNCTION("""COMPUTED_VALUE"""),"Torino")</f>
        <v>Torino</v>
      </c>
      <c r="E96" s="15">
        <f>IFERROR(__xludf.DUMMYFUNCTION("""COMPUTED_VALUE"""),11.0)</f>
        <v>11</v>
      </c>
      <c r="F96" s="17">
        <f>IFERROR(__xludf.DUMMYFUNCTION("""COMPUTED_VALUE"""),0.018)</f>
        <v>0.018</v>
      </c>
      <c r="G96" s="15"/>
      <c r="H96" s="11"/>
      <c r="I96" s="15"/>
    </row>
    <row r="97">
      <c r="A97" s="11">
        <f>IFERROR(__xludf.DUMMYFUNCTION("""COMPUTED_VALUE"""),4459.0)</f>
        <v>4459</v>
      </c>
      <c r="B97" s="11" t="str">
        <f>IFERROR(__xludf.DUMMYFUNCTION("""COMPUTED_VALUE"""),"C")</f>
        <v>C</v>
      </c>
      <c r="C97" s="11" t="str">
        <f>IFERROR(__xludf.DUMMYFUNCTION("""COMPUTED_VALUE"""),"Rovella")</f>
        <v>Rovella</v>
      </c>
      <c r="D97" s="11" t="str">
        <f>IFERROR(__xludf.DUMMYFUNCTION("""COMPUTED_VALUE"""),"Lazio")</f>
        <v>Lazio</v>
      </c>
      <c r="E97" s="15">
        <f>IFERROR(__xludf.DUMMYFUNCTION("""COMPUTED_VALUE"""),10.0)</f>
        <v>10</v>
      </c>
      <c r="F97" s="17">
        <f>IFERROR(__xludf.DUMMYFUNCTION("""COMPUTED_VALUE"""),0.016)</f>
        <v>0.016</v>
      </c>
      <c r="G97" s="15"/>
      <c r="H97" s="11"/>
      <c r="I97" s="15"/>
    </row>
    <row r="98">
      <c r="A98" s="11">
        <f>IFERROR(__xludf.DUMMYFUNCTION("""COMPUTED_VALUE"""),5504.0)</f>
        <v>5504</v>
      </c>
      <c r="B98" s="11" t="str">
        <f>IFERROR(__xludf.DUMMYFUNCTION("""COMPUTED_VALUE"""),"C")</f>
        <v>C</v>
      </c>
      <c r="C98" s="11" t="str">
        <f>IFERROR(__xludf.DUMMYFUNCTION("""COMPUTED_VALUE"""),"Coulibaly L.")</f>
        <v>Coulibaly L.</v>
      </c>
      <c r="D98" s="11" t="str">
        <f>IFERROR(__xludf.DUMMYFUNCTION("""COMPUTED_VALUE"""),"Lecce")</f>
        <v>Lecce</v>
      </c>
      <c r="E98" s="15">
        <f>IFERROR(__xludf.DUMMYFUNCTION("""COMPUTED_VALUE"""),10.0)</f>
        <v>10</v>
      </c>
      <c r="F98" s="17">
        <f>IFERROR(__xludf.DUMMYFUNCTION("""COMPUTED_VALUE"""),0.017)</f>
        <v>0.017</v>
      </c>
      <c r="G98" s="15"/>
      <c r="H98" s="11"/>
      <c r="I98" s="15"/>
    </row>
    <row r="99">
      <c r="A99" s="11">
        <f>IFERROR(__xludf.DUMMYFUNCTION("""COMPUTED_VALUE"""),6783.0)</f>
        <v>6783</v>
      </c>
      <c r="B99" s="11" t="str">
        <f>IFERROR(__xludf.DUMMYFUNCTION("""COMPUTED_VALUE"""),"C")</f>
        <v>C</v>
      </c>
      <c r="C99" s="11" t="str">
        <f>IFERROR(__xludf.DUMMYFUNCTION("""COMPUTED_VALUE"""),"Unai Gomez")</f>
        <v>Unai Gomez</v>
      </c>
      <c r="D99" s="11" t="str">
        <f>IFERROR(__xludf.DUMMYFUNCTION("""COMPUTED_VALUE"""),"Udinese")</f>
        <v>Udinese</v>
      </c>
      <c r="E99" s="15">
        <f>IFERROR(__xludf.DUMMYFUNCTION("""COMPUTED_VALUE"""),10.0)</f>
        <v>10</v>
      </c>
      <c r="F99" s="17">
        <f>IFERROR(__xludf.DUMMYFUNCTION("""COMPUTED_VALUE"""),0.016)</f>
        <v>0.016</v>
      </c>
      <c r="G99" s="15"/>
      <c r="H99" s="11"/>
      <c r="I99" s="15"/>
    </row>
    <row r="100">
      <c r="A100" s="11">
        <f>IFERROR(__xludf.DUMMYFUNCTION("""COMPUTED_VALUE"""),5036.0)</f>
        <v>5036</v>
      </c>
      <c r="B100" s="11" t="str">
        <f>IFERROR(__xludf.DUMMYFUNCTION("""COMPUTED_VALUE"""),"C")</f>
        <v>C</v>
      </c>
      <c r="C100" s="11" t="str">
        <f>IFERROR(__xludf.DUMMYFUNCTION("""COMPUTED_VALUE"""),"Caqueret")</f>
        <v>Caqueret</v>
      </c>
      <c r="D100" s="11" t="str">
        <f>IFERROR(__xludf.DUMMYFUNCTION("""COMPUTED_VALUE"""),"Como")</f>
        <v>Como</v>
      </c>
      <c r="E100" s="15">
        <f>IFERROR(__xludf.DUMMYFUNCTION("""COMPUTED_VALUE"""),10.0)</f>
        <v>10</v>
      </c>
      <c r="F100" s="17">
        <f>IFERROR(__xludf.DUMMYFUNCTION("""COMPUTED_VALUE"""),0.017)</f>
        <v>0.017</v>
      </c>
      <c r="G100" s="15"/>
      <c r="H100" s="11"/>
      <c r="I100" s="15"/>
    </row>
    <row r="101">
      <c r="A101" s="11">
        <f>IFERROR(__xludf.DUMMYFUNCTION("""COMPUTED_VALUE"""),6020.0)</f>
        <v>6020</v>
      </c>
      <c r="B101" s="11" t="str">
        <f>IFERROR(__xludf.DUMMYFUNCTION("""COMPUTED_VALUE"""),"C")</f>
        <v>C</v>
      </c>
      <c r="C101" s="11" t="str">
        <f>IFERROR(__xludf.DUMMYFUNCTION("""COMPUTED_VALUE"""),"Ellertsson")</f>
        <v>Ellertsson</v>
      </c>
      <c r="D101" s="11" t="str">
        <f>IFERROR(__xludf.DUMMYFUNCTION("""COMPUTED_VALUE"""),"Genoa")</f>
        <v>Genoa</v>
      </c>
      <c r="E101" s="15">
        <f>IFERROR(__xludf.DUMMYFUNCTION("""COMPUTED_VALUE"""),10.0)</f>
        <v>10</v>
      </c>
      <c r="F101" s="17">
        <f>IFERROR(__xludf.DUMMYFUNCTION("""COMPUTED_VALUE"""),0.016)</f>
        <v>0.016</v>
      </c>
      <c r="G101" s="15"/>
      <c r="H101" s="11"/>
      <c r="I101" s="15"/>
    </row>
    <row r="102">
      <c r="A102" s="11">
        <f>IFERROR(__xludf.DUMMYFUNCTION("""COMPUTED_VALUE"""),6252.0)</f>
        <v>6252</v>
      </c>
      <c r="B102" s="11" t="str">
        <f>IFERROR(__xludf.DUMMYFUNCTION("""COMPUTED_VALUE"""),"C")</f>
        <v>C</v>
      </c>
      <c r="C102" s="11" t="str">
        <f>IFERROR(__xludf.DUMMYFUNCTION("""COMPUTED_VALUE"""),"Folorunsho")</f>
        <v>Folorunsho</v>
      </c>
      <c r="D102" s="11" t="str">
        <f>IFERROR(__xludf.DUMMYFUNCTION("""COMPUTED_VALUE"""),"Monza")</f>
        <v>Monza</v>
      </c>
      <c r="E102" s="15">
        <f>IFERROR(__xludf.DUMMYFUNCTION("""COMPUTED_VALUE"""),10.0)</f>
        <v>10</v>
      </c>
      <c r="F102" s="17">
        <f>IFERROR(__xludf.DUMMYFUNCTION("""COMPUTED_VALUE"""),0.017)</f>
        <v>0.017</v>
      </c>
      <c r="G102" s="15"/>
      <c r="H102" s="11"/>
      <c r="I102" s="15"/>
    </row>
    <row r="103">
      <c r="A103" s="11">
        <f>IFERROR(__xludf.DUMMYFUNCTION("""COMPUTED_VALUE"""),5878.0)</f>
        <v>5878</v>
      </c>
      <c r="B103" s="11" t="str">
        <f>IFERROR(__xludf.DUMMYFUNCTION("""COMPUTED_VALUE"""),"C")</f>
        <v>C</v>
      </c>
      <c r="C103" s="11" t="str">
        <f>IFERROR(__xludf.DUMMYFUNCTION("""COMPUTED_VALUE"""),"Colpani")</f>
        <v>Colpani</v>
      </c>
      <c r="D103" s="11" t="str">
        <f>IFERROR(__xludf.DUMMYFUNCTION("""COMPUTED_VALUE"""),"Monza")</f>
        <v>Monza</v>
      </c>
      <c r="E103" s="15">
        <f>IFERROR(__xludf.DUMMYFUNCTION("""COMPUTED_VALUE"""),9.0)</f>
        <v>9</v>
      </c>
      <c r="F103" s="17">
        <f>IFERROR(__xludf.DUMMYFUNCTION("""COMPUTED_VALUE"""),0.015)</f>
        <v>0.015</v>
      </c>
      <c r="G103" s="15"/>
      <c r="H103" s="11"/>
      <c r="I103" s="15"/>
    </row>
    <row r="104">
      <c r="A104" s="11">
        <f>IFERROR(__xludf.DUMMYFUNCTION("""COMPUTED_VALUE"""),4260.0)</f>
        <v>4260</v>
      </c>
      <c r="B104" s="11" t="str">
        <f>IFERROR(__xludf.DUMMYFUNCTION("""COMPUTED_VALUE"""),"C")</f>
        <v>C</v>
      </c>
      <c r="C104" s="11" t="str">
        <f>IFERROR(__xludf.DUMMYFUNCTION("""COMPUTED_VALUE"""),"Winks")</f>
        <v>Winks</v>
      </c>
      <c r="D104" s="11" t="str">
        <f>IFERROR(__xludf.DUMMYFUNCTION("""COMPUTED_VALUE"""),"Cagliari")</f>
        <v>Cagliari</v>
      </c>
      <c r="E104" s="15">
        <f>IFERROR(__xludf.DUMMYFUNCTION("""COMPUTED_VALUE"""),9.0)</f>
        <v>9</v>
      </c>
      <c r="F104" s="17">
        <f>IFERROR(__xludf.DUMMYFUNCTION("""COMPUTED_VALUE"""),0.015)</f>
        <v>0.015</v>
      </c>
      <c r="G104" s="15"/>
      <c r="H104" s="11"/>
      <c r="I104" s="15"/>
    </row>
    <row r="105">
      <c r="A105" s="11">
        <f>IFERROR(__xludf.DUMMYFUNCTION("""COMPUTED_VALUE"""),2741.0)</f>
        <v>2741</v>
      </c>
      <c r="B105" s="11" t="str">
        <f>IFERROR(__xludf.DUMMYFUNCTION("""COMPUTED_VALUE"""),"C")</f>
        <v>C</v>
      </c>
      <c r="C105" s="11" t="str">
        <f>IFERROR(__xludf.DUMMYFUNCTION("""COMPUTED_VALUE"""),"Pessina")</f>
        <v>Pessina</v>
      </c>
      <c r="D105" s="11" t="str">
        <f>IFERROR(__xludf.DUMMYFUNCTION("""COMPUTED_VALUE"""),"Monza")</f>
        <v>Monza</v>
      </c>
      <c r="E105" s="15">
        <f>IFERROR(__xludf.DUMMYFUNCTION("""COMPUTED_VALUE"""),9.0)</f>
        <v>9</v>
      </c>
      <c r="F105" s="17">
        <f>IFERROR(__xludf.DUMMYFUNCTION("""COMPUTED_VALUE"""),0.015)</f>
        <v>0.015</v>
      </c>
      <c r="G105" s="15"/>
      <c r="H105" s="11"/>
      <c r="I105" s="15"/>
    </row>
    <row r="106">
      <c r="A106" s="11">
        <f>IFERROR(__xludf.DUMMYFUNCTION("""COMPUTED_VALUE"""),2528.0)</f>
        <v>2528</v>
      </c>
      <c r="B106" s="11" t="str">
        <f>IFERROR(__xludf.DUMMYFUNCTION("""COMPUTED_VALUE"""),"C")</f>
        <v>C</v>
      </c>
      <c r="C106" s="11" t="str">
        <f>IFERROR(__xludf.DUMMYFUNCTION("""COMPUTED_VALUE"""),"Matic")</f>
        <v>Matic</v>
      </c>
      <c r="D106" s="11" t="str">
        <f>IFERROR(__xludf.DUMMYFUNCTION("""COMPUTED_VALUE"""),"Sassuolo")</f>
        <v>Sassuolo</v>
      </c>
      <c r="E106" s="15">
        <f>IFERROR(__xludf.DUMMYFUNCTION("""COMPUTED_VALUE"""),9.0)</f>
        <v>9</v>
      </c>
      <c r="F106" s="17">
        <f>IFERROR(__xludf.DUMMYFUNCTION("""COMPUTED_VALUE"""),0.015)</f>
        <v>0.015</v>
      </c>
      <c r="G106" s="15"/>
      <c r="H106" s="11"/>
      <c r="I106" s="15"/>
    </row>
    <row r="107">
      <c r="A107" s="11">
        <f>IFERROR(__xludf.DUMMYFUNCTION("""COMPUTED_VALUE"""),7198.0)</f>
        <v>7198</v>
      </c>
      <c r="B107" s="11" t="str">
        <f>IFERROR(__xludf.DUMMYFUNCTION("""COMPUTED_VALUE"""),"C")</f>
        <v>C</v>
      </c>
      <c r="C107" s="11" t="str">
        <f>IFERROR(__xludf.DUMMYFUNCTION("""COMPUTED_VALUE"""),"Piotrowski")</f>
        <v>Piotrowski</v>
      </c>
      <c r="D107" s="11" t="str">
        <f>IFERROR(__xludf.DUMMYFUNCTION("""COMPUTED_VALUE"""),"Udinese")</f>
        <v>Udinese</v>
      </c>
      <c r="E107" s="15">
        <f>IFERROR(__xludf.DUMMYFUNCTION("""COMPUTED_VALUE"""),9.0)</f>
        <v>9</v>
      </c>
      <c r="F107" s="17">
        <f>IFERROR(__xludf.DUMMYFUNCTION("""COMPUTED_VALUE"""),0.015)</f>
        <v>0.015</v>
      </c>
      <c r="G107" s="15"/>
      <c r="H107" s="11"/>
      <c r="I107" s="15"/>
    </row>
    <row r="108">
      <c r="A108" s="11">
        <f>IFERROR(__xludf.DUMMYFUNCTION("""COMPUTED_VALUE"""),6898.0)</f>
        <v>6898</v>
      </c>
      <c r="B108" s="11" t="str">
        <f>IFERROR(__xludf.DUMMYFUNCTION("""COMPUTED_VALUE"""),"C")</f>
        <v>C</v>
      </c>
      <c r="C108" s="11" t="str">
        <f>IFERROR(__xludf.DUMMYFUNCTION("""COMPUTED_VALUE"""),"Keita M.")</f>
        <v>Keita M.</v>
      </c>
      <c r="D108" s="11" t="str">
        <f>IFERROR(__xludf.DUMMYFUNCTION("""COMPUTED_VALUE"""),"Parma")</f>
        <v>Parma</v>
      </c>
      <c r="E108" s="15">
        <f>IFERROR(__xludf.DUMMYFUNCTION("""COMPUTED_VALUE"""),9.0)</f>
        <v>9</v>
      </c>
      <c r="F108" s="17">
        <f>IFERROR(__xludf.DUMMYFUNCTION("""COMPUTED_VALUE"""),0.015)</f>
        <v>0.015</v>
      </c>
      <c r="G108" s="15"/>
      <c r="H108" s="11"/>
      <c r="I108" s="15"/>
    </row>
    <row r="109">
      <c r="A109" s="11">
        <f>IFERROR(__xludf.DUMMYFUNCTION("""COMPUTED_VALUE"""),6994.0)</f>
        <v>6994</v>
      </c>
      <c r="B109" s="11" t="str">
        <f>IFERROR(__xludf.DUMMYFUNCTION("""COMPUTED_VALUE"""),"C")</f>
        <v>C</v>
      </c>
      <c r="C109" s="11" t="str">
        <f>IFERROR(__xludf.DUMMYFUNCTION("""COMPUTED_VALUE"""),"Perez K.")</f>
        <v>Perez K.</v>
      </c>
      <c r="D109" s="11" t="str">
        <f>IFERROR(__xludf.DUMMYFUNCTION("""COMPUTED_VALUE"""),"Venezia")</f>
        <v>Venezia</v>
      </c>
      <c r="E109" s="15">
        <f>IFERROR(__xludf.DUMMYFUNCTION("""COMPUTED_VALUE"""),9.0)</f>
        <v>9</v>
      </c>
      <c r="F109" s="17">
        <f>IFERROR(__xludf.DUMMYFUNCTION("""COMPUTED_VALUE"""),0.015)</f>
        <v>0.015</v>
      </c>
      <c r="G109" s="15"/>
      <c r="H109" s="11"/>
      <c r="I109" s="15"/>
    </row>
    <row r="110">
      <c r="A110" s="11">
        <f>IFERROR(__xludf.DUMMYFUNCTION("""COMPUTED_VALUE"""),4911.0)</f>
        <v>4911</v>
      </c>
      <c r="B110" s="11" t="str">
        <f>IFERROR(__xludf.DUMMYFUNCTION("""COMPUTED_VALUE"""),"C")</f>
        <v>C</v>
      </c>
      <c r="C110" s="11" t="str">
        <f>IFERROR(__xludf.DUMMYFUNCTION("""COMPUTED_VALUE"""),"Douglas Luiz")</f>
        <v>Douglas Luiz</v>
      </c>
      <c r="D110" s="11" t="str">
        <f>IFERROR(__xludf.DUMMYFUNCTION("""COMPUTED_VALUE"""),"Juventus")</f>
        <v>Juventus</v>
      </c>
      <c r="E110" s="15">
        <f>IFERROR(__xludf.DUMMYFUNCTION("""COMPUTED_VALUE"""),9.0)</f>
        <v>9</v>
      </c>
      <c r="F110" s="17">
        <f>IFERROR(__xludf.DUMMYFUNCTION("""COMPUTED_VALUE"""),0.015)</f>
        <v>0.015</v>
      </c>
      <c r="G110" s="15"/>
      <c r="H110" s="11"/>
      <c r="I110" s="15"/>
    </row>
    <row r="111">
      <c r="A111" s="11">
        <f>IFERROR(__xludf.DUMMYFUNCTION("""COMPUTED_VALUE"""),5295.0)</f>
        <v>5295</v>
      </c>
      <c r="B111" s="11" t="str">
        <f>IFERROR(__xludf.DUMMYFUNCTION("""COMPUTED_VALUE"""),"C")</f>
        <v>C</v>
      </c>
      <c r="C111" s="11" t="str">
        <f>IFERROR(__xludf.DUMMYFUNCTION("""COMPUTED_VALUE"""),"Musah")</f>
        <v>Musah</v>
      </c>
      <c r="D111" s="11" t="str">
        <f>IFERROR(__xludf.DUMMYFUNCTION("""COMPUTED_VALUE"""),"Milan")</f>
        <v>Milan</v>
      </c>
      <c r="E111" s="15">
        <f>IFERROR(__xludf.DUMMYFUNCTION("""COMPUTED_VALUE"""),9.0)</f>
        <v>9</v>
      </c>
      <c r="F111" s="17">
        <f>IFERROR(__xludf.DUMMYFUNCTION("""COMPUTED_VALUE"""),0.015)</f>
        <v>0.015</v>
      </c>
      <c r="G111" s="15"/>
      <c r="H111" s="11"/>
      <c r="I111" s="15"/>
    </row>
    <row r="112">
      <c r="A112" s="11">
        <f>IFERROR(__xludf.DUMMYFUNCTION("""COMPUTED_VALUE"""),4870.0)</f>
        <v>4870</v>
      </c>
      <c r="B112" s="11" t="str">
        <f>IFERROR(__xludf.DUMMYFUNCTION("""COMPUTED_VALUE"""),"C")</f>
        <v>C</v>
      </c>
      <c r="C112" s="11" t="str">
        <f>IFERROR(__xludf.DUMMYFUNCTION("""COMPUTED_VALUE"""),"Adopo")</f>
        <v>Adopo</v>
      </c>
      <c r="D112" s="11" t="str">
        <f>IFERROR(__xludf.DUMMYFUNCTION("""COMPUTED_VALUE"""),"Cagliari")</f>
        <v>Cagliari</v>
      </c>
      <c r="E112" s="15">
        <f>IFERROR(__xludf.DUMMYFUNCTION("""COMPUTED_VALUE"""),8.0)</f>
        <v>8</v>
      </c>
      <c r="F112" s="17">
        <f>IFERROR(__xludf.DUMMYFUNCTION("""COMPUTED_VALUE"""),0.013)</f>
        <v>0.013</v>
      </c>
      <c r="G112" s="15"/>
      <c r="H112" s="11"/>
      <c r="I112" s="15"/>
    </row>
    <row r="113">
      <c r="A113" s="11">
        <f>IFERROR(__xludf.DUMMYFUNCTION("""COMPUTED_VALUE"""),7036.0)</f>
        <v>7036</v>
      </c>
      <c r="B113" s="11" t="str">
        <f>IFERROR(__xludf.DUMMYFUNCTION("""COMPUTED_VALUE"""),"C")</f>
        <v>C</v>
      </c>
      <c r="C113" s="11" t="str">
        <f>IFERROR(__xludf.DUMMYFUNCTION("""COMPUTED_VALUE"""),"Bakola")</f>
        <v>Bakola</v>
      </c>
      <c r="D113" s="11" t="str">
        <f>IFERROR(__xludf.DUMMYFUNCTION("""COMPUTED_VALUE"""),"Sassuolo")</f>
        <v>Sassuolo</v>
      </c>
      <c r="E113" s="15">
        <f>IFERROR(__xludf.DUMMYFUNCTION("""COMPUTED_VALUE"""),8.0)</f>
        <v>8</v>
      </c>
      <c r="F113" s="17">
        <f>IFERROR(__xludf.DUMMYFUNCTION("""COMPUTED_VALUE"""),0.014)</f>
        <v>0.014</v>
      </c>
      <c r="G113" s="15"/>
      <c r="H113" s="11"/>
      <c r="I113" s="15"/>
    </row>
    <row r="114">
      <c r="A114" s="11">
        <f>IFERROR(__xludf.DUMMYFUNCTION("""COMPUTED_VALUE"""),7146.0)</f>
        <v>7146</v>
      </c>
      <c r="B114" s="11" t="str">
        <f>IFERROR(__xludf.DUMMYFUNCTION("""COMPUTED_VALUE"""),"C")</f>
        <v>C</v>
      </c>
      <c r="C114" s="11" t="str">
        <f>IFERROR(__xludf.DUMMYFUNCTION("""COMPUTED_VALUE"""),"Tourè I.")</f>
        <v>Tourè I.</v>
      </c>
      <c r="D114" s="11" t="str">
        <f>IFERROR(__xludf.DUMMYFUNCTION("""COMPUTED_VALUE"""),"Monza")</f>
        <v>Monza</v>
      </c>
      <c r="E114" s="15">
        <f>IFERROR(__xludf.DUMMYFUNCTION("""COMPUTED_VALUE"""),8.0)</f>
        <v>8</v>
      </c>
      <c r="F114" s="17">
        <f>IFERROR(__xludf.DUMMYFUNCTION("""COMPUTED_VALUE"""),0.014)</f>
        <v>0.014</v>
      </c>
      <c r="G114" s="15"/>
      <c r="H114" s="11"/>
      <c r="I114" s="15"/>
    </row>
    <row r="115">
      <c r="A115" s="11">
        <f>IFERROR(__xludf.DUMMYFUNCTION("""COMPUTED_VALUE"""),6629.0)</f>
        <v>6629</v>
      </c>
      <c r="B115" s="11" t="str">
        <f>IFERROR(__xludf.DUMMYFUNCTION("""COMPUTED_VALUE"""),"C")</f>
        <v>C</v>
      </c>
      <c r="C115" s="11" t="str">
        <f>IFERROR(__xludf.DUMMYFUNCTION("""COMPUTED_VALUE"""),"Dele-Bashiru")</f>
        <v>Dele-Bashiru</v>
      </c>
      <c r="D115" s="11" t="str">
        <f>IFERROR(__xludf.DUMMYFUNCTION("""COMPUTED_VALUE"""),"Lazio")</f>
        <v>Lazio</v>
      </c>
      <c r="E115" s="15">
        <f>IFERROR(__xludf.DUMMYFUNCTION("""COMPUTED_VALUE"""),8.0)</f>
        <v>8</v>
      </c>
      <c r="F115" s="17">
        <f>IFERROR(__xludf.DUMMYFUNCTION("""COMPUTED_VALUE"""),0.013)</f>
        <v>0.013</v>
      </c>
      <c r="G115" s="15"/>
      <c r="H115" s="11"/>
      <c r="I115" s="15"/>
    </row>
    <row r="116">
      <c r="A116" s="11">
        <f>IFERROR(__xludf.DUMMYFUNCTION("""COMPUTED_VALUE"""),7203.0)</f>
        <v>7203</v>
      </c>
      <c r="B116" s="11" t="str">
        <f>IFERROR(__xludf.DUMMYFUNCTION("""COMPUTED_VALUE"""),"C")</f>
        <v>C</v>
      </c>
      <c r="C116" s="11" t="str">
        <f>IFERROR(__xludf.DUMMYFUNCTION("""COMPUTED_VALUE"""),"Jashari")</f>
        <v>Jashari</v>
      </c>
      <c r="D116" s="11" t="str">
        <f>IFERROR(__xludf.DUMMYFUNCTION("""COMPUTED_VALUE"""),"Milan")</f>
        <v>Milan</v>
      </c>
      <c r="E116" s="15">
        <f>IFERROR(__xludf.DUMMYFUNCTION("""COMPUTED_VALUE"""),8.0)</f>
        <v>8</v>
      </c>
      <c r="F116" s="17">
        <f>IFERROR(__xludf.DUMMYFUNCTION("""COMPUTED_VALUE"""),0.013)</f>
        <v>0.013</v>
      </c>
      <c r="G116" s="15"/>
      <c r="H116" s="11"/>
      <c r="I116" s="15"/>
    </row>
    <row r="117">
      <c r="A117" s="11">
        <f>IFERROR(__xludf.DUMMYFUNCTION("""COMPUTED_VALUE"""),5507.0)</f>
        <v>5507</v>
      </c>
      <c r="B117" s="11" t="str">
        <f>IFERROR(__xludf.DUMMYFUNCTION("""COMPUTED_VALUE"""),"C")</f>
        <v>C</v>
      </c>
      <c r="C117" s="11" t="str">
        <f>IFERROR(__xludf.DUMMYFUNCTION("""COMPUTED_VALUE"""),"Busio")</f>
        <v>Busio</v>
      </c>
      <c r="D117" s="11" t="str">
        <f>IFERROR(__xludf.DUMMYFUNCTION("""COMPUTED_VALUE"""),"Venezia")</f>
        <v>Venezia</v>
      </c>
      <c r="E117" s="15">
        <f>IFERROR(__xludf.DUMMYFUNCTION("""COMPUTED_VALUE"""),8.0)</f>
        <v>8</v>
      </c>
      <c r="F117" s="17">
        <f>IFERROR(__xludf.DUMMYFUNCTION("""COMPUTED_VALUE"""),0.014)</f>
        <v>0.014</v>
      </c>
      <c r="G117" s="15"/>
      <c r="H117" s="11"/>
      <c r="I117" s="15"/>
    </row>
    <row r="118">
      <c r="A118" s="11">
        <f>IFERROR(__xludf.DUMMYFUNCTION("""COMPUTED_VALUE"""),6054.0)</f>
        <v>6054</v>
      </c>
      <c r="B118" s="11" t="str">
        <f>IFERROR(__xludf.DUMMYFUNCTION("""COMPUTED_VALUE"""),"C")</f>
        <v>C</v>
      </c>
      <c r="C118" s="11" t="str">
        <f>IFERROR(__xludf.DUMMYFUNCTION("""COMPUTED_VALUE"""),"Moro N.")</f>
        <v>Moro N.</v>
      </c>
      <c r="D118" s="11" t="str">
        <f>IFERROR(__xludf.DUMMYFUNCTION("""COMPUTED_VALUE"""),"Bologna")</f>
        <v>Bologna</v>
      </c>
      <c r="E118" s="15">
        <f>IFERROR(__xludf.DUMMYFUNCTION("""COMPUTED_VALUE"""),8.0)</f>
        <v>8</v>
      </c>
      <c r="F118" s="17">
        <f>IFERROR(__xludf.DUMMYFUNCTION("""COMPUTED_VALUE"""),0.014)</f>
        <v>0.014</v>
      </c>
      <c r="G118" s="15"/>
      <c r="H118" s="11"/>
      <c r="I118" s="15"/>
    </row>
    <row r="119">
      <c r="A119" s="11">
        <f>IFERROR(__xludf.DUMMYFUNCTION("""COMPUTED_VALUE"""),6506.0)</f>
        <v>6506</v>
      </c>
      <c r="B119" s="11" t="str">
        <f>IFERROR(__xludf.DUMMYFUNCTION("""COMPUTED_VALUE"""),"C")</f>
        <v>C</v>
      </c>
      <c r="C119" s="11" t="str">
        <f>IFERROR(__xludf.DUMMYFUNCTION("""COMPUTED_VALUE"""),"Fini")</f>
        <v>Fini</v>
      </c>
      <c r="D119" s="11" t="str">
        <f>IFERROR(__xludf.DUMMYFUNCTION("""COMPUTED_VALUE"""),"Frosinone")</f>
        <v>Frosinone</v>
      </c>
      <c r="E119" s="15">
        <f>IFERROR(__xludf.DUMMYFUNCTION("""COMPUTED_VALUE"""),8.0)</f>
        <v>8</v>
      </c>
      <c r="F119" s="17">
        <f>IFERROR(__xludf.DUMMYFUNCTION("""COMPUTED_VALUE"""),0.013)</f>
        <v>0.013</v>
      </c>
      <c r="G119" s="15"/>
      <c r="H119" s="11"/>
      <c r="I119" s="15"/>
    </row>
    <row r="120">
      <c r="A120" s="11">
        <f>IFERROR(__xludf.DUMMYFUNCTION("""COMPUTED_VALUE"""),6593.0)</f>
        <v>6593</v>
      </c>
      <c r="B120" s="11" t="str">
        <f>IFERROR(__xludf.DUMMYFUNCTION("""COMPUTED_VALUE"""),"C")</f>
        <v>C</v>
      </c>
      <c r="C120" s="11" t="str">
        <f>IFERROR(__xludf.DUMMYFUNCTION("""COMPUTED_VALUE"""),"Akinsanmiro")</f>
        <v>Akinsanmiro</v>
      </c>
      <c r="D120" s="11" t="str">
        <f>IFERROR(__xludf.DUMMYFUNCTION("""COMPUTED_VALUE"""),"Monza")</f>
        <v>Monza</v>
      </c>
      <c r="E120" s="15">
        <f>IFERROR(__xludf.DUMMYFUNCTION("""COMPUTED_VALUE"""),7.0)</f>
        <v>7</v>
      </c>
      <c r="F120" s="17">
        <f>IFERROR(__xludf.DUMMYFUNCTION("""COMPUTED_VALUE"""),0.011)</f>
        <v>0.011</v>
      </c>
      <c r="G120" s="15"/>
      <c r="H120" s="11"/>
      <c r="I120" s="15"/>
    </row>
    <row r="121">
      <c r="A121" s="11">
        <f>IFERROR(__xludf.DUMMYFUNCTION("""COMPUTED_VALUE"""),5298.0)</f>
        <v>5298</v>
      </c>
      <c r="B121" s="11" t="str">
        <f>IFERROR(__xludf.DUMMYFUNCTION("""COMPUTED_VALUE"""),"C")</f>
        <v>C</v>
      </c>
      <c r="C121" s="11" t="str">
        <f>IFERROR(__xludf.DUMMYFUNCTION("""COMPUTED_VALUE"""),"Pobega")</f>
        <v>Pobega</v>
      </c>
      <c r="D121" s="11" t="str">
        <f>IFERROR(__xludf.DUMMYFUNCTION("""COMPUTED_VALUE"""),"Bologna")</f>
        <v>Bologna</v>
      </c>
      <c r="E121" s="15">
        <f>IFERROR(__xludf.DUMMYFUNCTION("""COMPUTED_VALUE"""),7.0)</f>
        <v>7</v>
      </c>
      <c r="F121" s="17">
        <f>IFERROR(__xludf.DUMMYFUNCTION("""COMPUTED_VALUE"""),0.012)</f>
        <v>0.012</v>
      </c>
      <c r="G121" s="15"/>
      <c r="H121" s="11"/>
      <c r="I121" s="15"/>
    </row>
    <row r="122">
      <c r="A122" s="11">
        <f>IFERROR(__xludf.DUMMYFUNCTION("""COMPUTED_VALUE"""),5998.0)</f>
        <v>5998</v>
      </c>
      <c r="B122" s="11" t="str">
        <f>IFERROR(__xludf.DUMMYFUNCTION("""COMPUTED_VALUE"""),"C")</f>
        <v>C</v>
      </c>
      <c r="C122" s="11" t="str">
        <f>IFERROR(__xludf.DUMMYFUNCTION("""COMPUTED_VALUE"""),"Zerbin")</f>
        <v>Zerbin</v>
      </c>
      <c r="D122" s="11" t="str">
        <f>IFERROR(__xludf.DUMMYFUNCTION("""COMPUTED_VALUE"""),"Frosinone")</f>
        <v>Frosinone</v>
      </c>
      <c r="E122" s="15">
        <f>IFERROR(__xludf.DUMMYFUNCTION("""COMPUTED_VALUE"""),7.0)</f>
        <v>7</v>
      </c>
      <c r="F122" s="17">
        <f>IFERROR(__xludf.DUMMYFUNCTION("""COMPUTED_VALUE"""),0.012)</f>
        <v>0.012</v>
      </c>
      <c r="G122" s="15"/>
      <c r="H122" s="11"/>
      <c r="I122" s="15"/>
    </row>
    <row r="123">
      <c r="A123" s="11">
        <f>IFERROR(__xludf.DUMMYFUNCTION("""COMPUTED_VALUE"""),6218.0)</f>
        <v>6218</v>
      </c>
      <c r="B123" s="11" t="str">
        <f>IFERROR(__xludf.DUMMYFUNCTION("""COMPUTED_VALUE"""),"C")</f>
        <v>C</v>
      </c>
      <c r="C123" s="11" t="str">
        <f>IFERROR(__xludf.DUMMYFUNCTION("""COMPUTED_VALUE"""),"Oristanio")</f>
        <v>Oristanio</v>
      </c>
      <c r="D123" s="11" t="str">
        <f>IFERROR(__xludf.DUMMYFUNCTION("""COMPUTED_VALUE"""),"Torino")</f>
        <v>Torino</v>
      </c>
      <c r="E123" s="15">
        <f>IFERROR(__xludf.DUMMYFUNCTION("""COMPUTED_VALUE"""),7.0)</f>
        <v>7</v>
      </c>
      <c r="F123" s="17">
        <f>IFERROR(__xludf.DUMMYFUNCTION("""COMPUTED_VALUE"""),0.012)</f>
        <v>0.012</v>
      </c>
      <c r="G123" s="15"/>
      <c r="H123" s="11"/>
      <c r="I123" s="15"/>
    </row>
    <row r="124">
      <c r="A124" s="11">
        <f>IFERROR(__xludf.DUMMYFUNCTION("""COMPUTED_VALUE"""),7409.0)</f>
        <v>7409</v>
      </c>
      <c r="B124" s="11" t="str">
        <f>IFERROR(__xludf.DUMMYFUNCTION("""COMPUTED_VALUE"""),"C")</f>
        <v>C</v>
      </c>
      <c r="C124" s="11" t="str">
        <f>IFERROR(__xludf.DUMMYFUNCTION("""COMPUTED_VALUE"""),"Meichtry")</f>
        <v>Meichtry</v>
      </c>
      <c r="D124" s="11" t="str">
        <f>IFERROR(__xludf.DUMMYFUNCTION("""COMPUTED_VALUE"""),"Genoa")</f>
        <v>Genoa</v>
      </c>
      <c r="E124" s="15">
        <f>IFERROR(__xludf.DUMMYFUNCTION("""COMPUTED_VALUE"""),7.0)</f>
        <v>7</v>
      </c>
      <c r="F124" s="17">
        <f>IFERROR(__xludf.DUMMYFUNCTION("""COMPUTED_VALUE"""),0.011)</f>
        <v>0.011</v>
      </c>
      <c r="G124" s="15"/>
      <c r="H124" s="11"/>
      <c r="I124" s="15"/>
    </row>
    <row r="125">
      <c r="A125" s="11">
        <f>IFERROR(__xludf.DUMMYFUNCTION("""COMPUTED_VALUE"""),5301.0)</f>
        <v>5301</v>
      </c>
      <c r="B125" s="11" t="str">
        <f>IFERROR(__xludf.DUMMYFUNCTION("""COMPUTED_VALUE"""),"C")</f>
        <v>C</v>
      </c>
      <c r="C125" s="11" t="str">
        <f>IFERROR(__xludf.DUMMYFUNCTION("""COMPUTED_VALUE"""),"Luis Henrique")</f>
        <v>Luis Henrique</v>
      </c>
      <c r="D125" s="11" t="str">
        <f>IFERROR(__xludf.DUMMYFUNCTION("""COMPUTED_VALUE"""),"Inter")</f>
        <v>Inter</v>
      </c>
      <c r="E125" s="15">
        <f>IFERROR(__xludf.DUMMYFUNCTION("""COMPUTED_VALUE"""),7.0)</f>
        <v>7</v>
      </c>
      <c r="F125" s="17">
        <f>IFERROR(__xludf.DUMMYFUNCTION("""COMPUTED_VALUE"""),0.012)</f>
        <v>0.012</v>
      </c>
      <c r="G125" s="15"/>
      <c r="H125" s="11"/>
      <c r="I125" s="15"/>
    </row>
    <row r="126">
      <c r="A126" s="11">
        <f>IFERROR(__xludf.DUMMYFUNCTION("""COMPUTED_VALUE"""),6170.0)</f>
        <v>6170</v>
      </c>
      <c r="B126" s="11" t="str">
        <f>IFERROR(__xludf.DUMMYFUNCTION("""COMPUTED_VALUE"""),"C")</f>
        <v>C</v>
      </c>
      <c r="C126" s="11" t="str">
        <f>IFERROR(__xludf.DUMMYFUNCTION("""COMPUTED_VALUE"""),"Gineitis")</f>
        <v>Gineitis</v>
      </c>
      <c r="D126" s="11" t="str">
        <f>IFERROR(__xludf.DUMMYFUNCTION("""COMPUTED_VALUE"""),"Torino")</f>
        <v>Torino</v>
      </c>
      <c r="E126" s="15">
        <f>IFERROR(__xludf.DUMMYFUNCTION("""COMPUTED_VALUE"""),7.0)</f>
        <v>7</v>
      </c>
      <c r="F126" s="17">
        <f>IFERROR(__xludf.DUMMYFUNCTION("""COMPUTED_VALUE"""),0.012)</f>
        <v>0.012</v>
      </c>
      <c r="G126" s="15"/>
      <c r="H126" s="11"/>
      <c r="I126" s="15"/>
    </row>
    <row r="127">
      <c r="A127" s="11">
        <f>IFERROR(__xludf.DUMMYFUNCTION("""COMPUTED_VALUE"""),5319.0)</f>
        <v>5319</v>
      </c>
      <c r="B127" s="11" t="str">
        <f>IFERROR(__xludf.DUMMYFUNCTION("""COMPUTED_VALUE"""),"C")</f>
        <v>C</v>
      </c>
      <c r="C127" s="11" t="str">
        <f>IFERROR(__xludf.DUMMYFUNCTION("""COMPUTED_VALUE"""),"Sohm")</f>
        <v>Sohm</v>
      </c>
      <c r="D127" s="11" t="str">
        <f>IFERROR(__xludf.DUMMYFUNCTION("""COMPUTED_VALUE"""),"Venezia")</f>
        <v>Venezia</v>
      </c>
      <c r="E127" s="15">
        <f>IFERROR(__xludf.DUMMYFUNCTION("""COMPUTED_VALUE"""),7.0)</f>
        <v>7</v>
      </c>
      <c r="F127" s="17">
        <f>IFERROR(__xludf.DUMMYFUNCTION("""COMPUTED_VALUE"""),0.011)</f>
        <v>0.011</v>
      </c>
      <c r="G127" s="15"/>
      <c r="H127" s="11"/>
      <c r="I127" s="15"/>
    </row>
    <row r="128">
      <c r="A128" s="11">
        <f>IFERROR(__xludf.DUMMYFUNCTION("""COMPUTED_VALUE"""),6895.0)</f>
        <v>6895</v>
      </c>
      <c r="B128" s="11" t="str">
        <f>IFERROR(__xludf.DUMMYFUNCTION("""COMPUTED_VALUE"""),"C")</f>
        <v>C</v>
      </c>
      <c r="C128" s="11" t="str">
        <f>IFERROR(__xludf.DUMMYFUNCTION("""COMPUTED_VALUE"""),"Dominguez B.")</f>
        <v>Dominguez B.</v>
      </c>
      <c r="D128" s="11" t="str">
        <f>IFERROR(__xludf.DUMMYFUNCTION("""COMPUTED_VALUE"""),"Sassuolo")</f>
        <v>Sassuolo</v>
      </c>
      <c r="E128" s="15">
        <f>IFERROR(__xludf.DUMMYFUNCTION("""COMPUTED_VALUE"""),7.0)</f>
        <v>7</v>
      </c>
      <c r="F128" s="17">
        <f>IFERROR(__xludf.DUMMYFUNCTION("""COMPUTED_VALUE"""),0.012)</f>
        <v>0.012</v>
      </c>
      <c r="G128" s="15"/>
      <c r="H128" s="11"/>
      <c r="I128" s="15"/>
    </row>
    <row r="129">
      <c r="A129" s="11">
        <f>IFERROR(__xludf.DUMMYFUNCTION("""COMPUTED_VALUE"""),7473.0)</f>
        <v>7473</v>
      </c>
      <c r="B129" s="11" t="str">
        <f>IFERROR(__xludf.DUMMYFUNCTION("""COMPUTED_VALUE"""),"C")</f>
        <v>C</v>
      </c>
      <c r="C129" s="11" t="str">
        <f>IFERROR(__xludf.DUMMYFUNCTION("""COMPUTED_VALUE"""),"Cichella")</f>
        <v>Cichella</v>
      </c>
      <c r="D129" s="11" t="str">
        <f>IFERROR(__xludf.DUMMYFUNCTION("""COMPUTED_VALUE"""),"Frosinone")</f>
        <v>Frosinone</v>
      </c>
      <c r="E129" s="15">
        <f>IFERROR(__xludf.DUMMYFUNCTION("""COMPUTED_VALUE"""),7.0)</f>
        <v>7</v>
      </c>
      <c r="F129" s="17">
        <f>IFERROR(__xludf.DUMMYFUNCTION("""COMPUTED_VALUE"""),0.012)</f>
        <v>0.012</v>
      </c>
      <c r="G129" s="15"/>
      <c r="H129" s="11"/>
      <c r="I129" s="15"/>
    </row>
    <row r="130">
      <c r="A130" s="11">
        <f>IFERROR(__xludf.DUMMYFUNCTION("""COMPUTED_VALUE"""),7341.0)</f>
        <v>7341</v>
      </c>
      <c r="B130" s="11" t="str">
        <f>IFERROR(__xludf.DUMMYFUNCTION("""COMPUTED_VALUE"""),"C")</f>
        <v>C</v>
      </c>
      <c r="C130" s="11" t="str">
        <f>IFERROR(__xludf.DUMMYFUNCTION("""COMPUTED_VALUE"""),"Amorim")</f>
        <v>Amorim</v>
      </c>
      <c r="D130" s="11" t="str">
        <f>IFERROR(__xludf.DUMMYFUNCTION("""COMPUTED_VALUE"""),"Genoa")</f>
        <v>Genoa</v>
      </c>
      <c r="E130" s="15">
        <f>IFERROR(__xludf.DUMMYFUNCTION("""COMPUTED_VALUE"""),7.0)</f>
        <v>7</v>
      </c>
      <c r="F130" s="17">
        <f>IFERROR(__xludf.DUMMYFUNCTION("""COMPUTED_VALUE"""),0.011)</f>
        <v>0.011</v>
      </c>
      <c r="G130" s="15"/>
      <c r="H130" s="11"/>
      <c r="I130" s="15"/>
    </row>
    <row r="131">
      <c r="A131" s="11">
        <f>IFERROR(__xludf.DUMMYFUNCTION("""COMPUTED_VALUE"""),2857.0)</f>
        <v>2857</v>
      </c>
      <c r="B131" s="11" t="str">
        <f>IFERROR(__xludf.DUMMYFUNCTION("""COMPUTED_VALUE"""),"C")</f>
        <v>C</v>
      </c>
      <c r="C131" s="11" t="str">
        <f>IFERROR(__xludf.DUMMYFUNCTION("""COMPUTED_VALUE"""),"Traorè Hj.")</f>
        <v>Traorè Hj.</v>
      </c>
      <c r="D131" s="11" t="str">
        <f>IFERROR(__xludf.DUMMYFUNCTION("""COMPUTED_VALUE"""),"Genoa")</f>
        <v>Genoa</v>
      </c>
      <c r="E131" s="15">
        <f>IFERROR(__xludf.DUMMYFUNCTION("""COMPUTED_VALUE"""),7.0)</f>
        <v>7</v>
      </c>
      <c r="F131" s="17">
        <f>IFERROR(__xludf.DUMMYFUNCTION("""COMPUTED_VALUE"""),0.011)</f>
        <v>0.011</v>
      </c>
      <c r="G131" s="15"/>
      <c r="H131" s="11"/>
      <c r="I131" s="15"/>
    </row>
    <row r="132">
      <c r="A132" s="11">
        <f>IFERROR(__xludf.DUMMYFUNCTION("""COMPUTED_VALUE"""),333.0)</f>
        <v>333</v>
      </c>
      <c r="B132" s="11" t="str">
        <f>IFERROR(__xludf.DUMMYFUNCTION("""COMPUTED_VALUE"""),"C")</f>
        <v>C</v>
      </c>
      <c r="C132" s="11" t="str">
        <f>IFERROR(__xludf.DUMMYFUNCTION("""COMPUTED_VALUE"""),"Cataldi")</f>
        <v>Cataldi</v>
      </c>
      <c r="D132" s="11" t="str">
        <f>IFERROR(__xludf.DUMMYFUNCTION("""COMPUTED_VALUE"""),"Lazio")</f>
        <v>Lazio</v>
      </c>
      <c r="E132" s="15">
        <f>IFERROR(__xludf.DUMMYFUNCTION("""COMPUTED_VALUE"""),7.0)</f>
        <v>7</v>
      </c>
      <c r="F132" s="17">
        <f>IFERROR(__xludf.DUMMYFUNCTION("""COMPUTED_VALUE"""),0.012)</f>
        <v>0.012</v>
      </c>
      <c r="G132" s="15"/>
      <c r="H132" s="11"/>
      <c r="I132" s="15"/>
    </row>
    <row r="133">
      <c r="A133" s="11">
        <f>IFERROR(__xludf.DUMMYFUNCTION("""COMPUTED_VALUE"""),7322.0)</f>
        <v>7322</v>
      </c>
      <c r="B133" s="11" t="str">
        <f>IFERROR(__xludf.DUMMYFUNCTION("""COMPUTED_VALUE"""),"C")</f>
        <v>C</v>
      </c>
      <c r="C133" s="11" t="str">
        <f>IFERROR(__xludf.DUMMYFUNCTION("""COMPUTED_VALUE"""),"Ngom")</f>
        <v>Ngom</v>
      </c>
      <c r="D133" s="11" t="str">
        <f>IFERROR(__xludf.DUMMYFUNCTION("""COMPUTED_VALUE"""),"Lecce")</f>
        <v>Lecce</v>
      </c>
      <c r="E133" s="15">
        <f>IFERROR(__xludf.DUMMYFUNCTION("""COMPUTED_VALUE"""),7.0)</f>
        <v>7</v>
      </c>
      <c r="F133" s="17">
        <f>IFERROR(__xludf.DUMMYFUNCTION("""COMPUTED_VALUE"""),0.012)</f>
        <v>0.012</v>
      </c>
      <c r="G133" s="15"/>
      <c r="H133" s="11"/>
      <c r="I133" s="15"/>
    </row>
    <row r="134">
      <c r="A134" s="11">
        <f>IFERROR(__xludf.DUMMYFUNCTION("""COMPUTED_VALUE"""),6015.0)</f>
        <v>6015</v>
      </c>
      <c r="B134" s="11" t="str">
        <f>IFERROR(__xludf.DUMMYFUNCTION("""COMPUTED_VALUE"""),"C")</f>
        <v>C</v>
      </c>
      <c r="C134" s="11" t="str">
        <f>IFERROR(__xludf.DUMMYFUNCTION("""COMPUTED_VALUE"""),"Berisha M.")</f>
        <v>Berisha M.</v>
      </c>
      <c r="D134" s="11" t="str">
        <f>IFERROR(__xludf.DUMMYFUNCTION("""COMPUTED_VALUE"""),"Lecce")</f>
        <v>Lecce</v>
      </c>
      <c r="E134" s="15">
        <f>IFERROR(__xludf.DUMMYFUNCTION("""COMPUTED_VALUE"""),7.0)</f>
        <v>7</v>
      </c>
      <c r="F134" s="17">
        <f>IFERROR(__xludf.DUMMYFUNCTION("""COMPUTED_VALUE"""),0.012)</f>
        <v>0.012</v>
      </c>
      <c r="G134" s="15"/>
      <c r="H134" s="11"/>
      <c r="I134" s="15"/>
    </row>
    <row r="135">
      <c r="A135" s="11">
        <f>IFERROR(__xludf.DUMMYFUNCTION("""COMPUTED_VALUE"""),5453.0)</f>
        <v>5453</v>
      </c>
      <c r="B135" s="11" t="str">
        <f>IFERROR(__xludf.DUMMYFUNCTION("""COMPUTED_VALUE"""),"C")</f>
        <v>C</v>
      </c>
      <c r="C135" s="11" t="str">
        <f>IFERROR(__xludf.DUMMYFUNCTION("""COMPUTED_VALUE"""),"Ricci S.")</f>
        <v>Ricci S.</v>
      </c>
      <c r="D135" s="11" t="str">
        <f>IFERROR(__xludf.DUMMYFUNCTION("""COMPUTED_VALUE"""),"Como")</f>
        <v>Como</v>
      </c>
      <c r="E135" s="15">
        <f>IFERROR(__xludf.DUMMYFUNCTION("""COMPUTED_VALUE"""),7.0)</f>
        <v>7</v>
      </c>
      <c r="F135" s="17">
        <f>IFERROR(__xludf.DUMMYFUNCTION("""COMPUTED_VALUE"""),0.012)</f>
        <v>0.012</v>
      </c>
      <c r="G135" s="15"/>
      <c r="H135" s="11"/>
      <c r="I135" s="15"/>
    </row>
    <row r="136">
      <c r="A136" s="11">
        <f>IFERROR(__xludf.DUMMYFUNCTION("""COMPUTED_VALUE"""),6207.0)</f>
        <v>6207</v>
      </c>
      <c r="B136" s="11" t="str">
        <f>IFERROR(__xludf.DUMMYFUNCTION("""COMPUTED_VALUE"""),"C")</f>
        <v>C</v>
      </c>
      <c r="C136" s="11" t="str">
        <f>IFERROR(__xludf.DUMMYFUNCTION("""COMPUTED_VALUE"""),"Almqvist")</f>
        <v>Almqvist</v>
      </c>
      <c r="D136" s="11" t="str">
        <f>IFERROR(__xludf.DUMMYFUNCTION("""COMPUTED_VALUE"""),"Parma")</f>
        <v>Parma</v>
      </c>
      <c r="E136" s="15">
        <f>IFERROR(__xludf.DUMMYFUNCTION("""COMPUTED_VALUE"""),7.0)</f>
        <v>7</v>
      </c>
      <c r="F136" s="17">
        <f>IFERROR(__xludf.DUMMYFUNCTION("""COMPUTED_VALUE"""),0.011)</f>
        <v>0.011</v>
      </c>
      <c r="G136" s="15"/>
      <c r="H136" s="11"/>
      <c r="I136" s="15"/>
    </row>
    <row r="137">
      <c r="A137" s="11">
        <f>IFERROR(__xludf.DUMMYFUNCTION("""COMPUTED_VALUE"""),7208.0)</f>
        <v>7208</v>
      </c>
      <c r="B137" s="11" t="str">
        <f>IFERROR(__xludf.DUMMYFUNCTION("""COMPUTED_VALUE"""),"C")</f>
        <v>C</v>
      </c>
      <c r="C137" s="11" t="str">
        <f>IFERROR(__xludf.DUMMYFUNCTION("""COMPUTED_VALUE"""),"Miller L.")</f>
        <v>Miller L.</v>
      </c>
      <c r="D137" s="11" t="str">
        <f>IFERROR(__xludf.DUMMYFUNCTION("""COMPUTED_VALUE"""),"Udinese")</f>
        <v>Udinese</v>
      </c>
      <c r="E137" s="15">
        <f>IFERROR(__xludf.DUMMYFUNCTION("""COMPUTED_VALUE"""),7.0)</f>
        <v>7</v>
      </c>
      <c r="F137" s="17">
        <f>IFERROR(__xludf.DUMMYFUNCTION("""COMPUTED_VALUE"""),0.012)</f>
        <v>0.012</v>
      </c>
      <c r="G137" s="15"/>
      <c r="H137" s="11"/>
      <c r="I137" s="15"/>
    </row>
    <row r="138">
      <c r="A138" s="11">
        <f>IFERROR(__xludf.DUMMYFUNCTION("""COMPUTED_VALUE"""),7579.0)</f>
        <v>7579</v>
      </c>
      <c r="B138" s="11" t="str">
        <f>IFERROR(__xludf.DUMMYFUNCTION("""COMPUTED_VALUE"""),"C")</f>
        <v>C</v>
      </c>
      <c r="C138" s="11" t="str">
        <f>IFERROR(__xludf.DUMMYFUNCTION("""COMPUTED_VALUE"""),"Massolin")</f>
        <v>Massolin</v>
      </c>
      <c r="D138" s="11" t="str">
        <f>IFERROR(__xludf.DUMMYFUNCTION("""COMPUTED_VALUE"""),"Cagliari")</f>
        <v>Cagliari</v>
      </c>
      <c r="E138" s="15">
        <f>IFERROR(__xludf.DUMMYFUNCTION("""COMPUTED_VALUE"""),7.0)</f>
        <v>7</v>
      </c>
      <c r="F138" s="17">
        <f>IFERROR(__xludf.DUMMYFUNCTION("""COMPUTED_VALUE"""),0.012)</f>
        <v>0.012</v>
      </c>
      <c r="G138" s="15"/>
      <c r="H138" s="11"/>
      <c r="I138" s="15"/>
    </row>
    <row r="139">
      <c r="A139" s="11">
        <f>IFERROR(__xludf.DUMMYFUNCTION("""COMPUTED_VALUE"""),4947.0)</f>
        <v>4947</v>
      </c>
      <c r="B139" s="11" t="str">
        <f>IFERROR(__xludf.DUMMYFUNCTION("""COMPUTED_VALUE"""),"C")</f>
        <v>C</v>
      </c>
      <c r="C139" s="11" t="str">
        <f>IFERROR(__xludf.DUMMYFUNCTION("""COMPUTED_VALUE"""),"Brescianini")</f>
        <v>Brescianini</v>
      </c>
      <c r="D139" s="11" t="str">
        <f>IFERROR(__xludf.DUMMYFUNCTION("""COMPUTED_VALUE"""),"Fiorentina")</f>
        <v>Fiorentina</v>
      </c>
      <c r="E139" s="15">
        <f>IFERROR(__xludf.DUMMYFUNCTION("""COMPUTED_VALUE"""),7.0)</f>
        <v>7</v>
      </c>
      <c r="F139" s="17">
        <f>IFERROR(__xludf.DUMMYFUNCTION("""COMPUTED_VALUE"""),0.011)</f>
        <v>0.011</v>
      </c>
      <c r="G139" s="15"/>
      <c r="H139" s="11"/>
      <c r="I139" s="15"/>
    </row>
    <row r="140">
      <c r="A140" s="11">
        <f>IFERROR(__xludf.DUMMYFUNCTION("""COMPUTED_VALUE"""),7248.0)</f>
        <v>7248</v>
      </c>
      <c r="B140" s="11" t="str">
        <f>IFERROR(__xludf.DUMMYFUNCTION("""COMPUTED_VALUE"""),"C")</f>
        <v>C</v>
      </c>
      <c r="C140" s="11" t="str">
        <f>IFERROR(__xludf.DUMMYFUNCTION("""COMPUTED_VALUE"""),"Gorter")</f>
        <v>Gorter</v>
      </c>
      <c r="D140" s="11" t="str">
        <f>IFERROR(__xludf.DUMMYFUNCTION("""COMPUTED_VALUE"""),"Lecce")</f>
        <v>Lecce</v>
      </c>
      <c r="E140" s="15">
        <f>IFERROR(__xludf.DUMMYFUNCTION("""COMPUTED_VALUE"""),7.0)</f>
        <v>7</v>
      </c>
      <c r="F140" s="17">
        <f>IFERROR(__xludf.DUMMYFUNCTION("""COMPUTED_VALUE"""),0.012)</f>
        <v>0.012</v>
      </c>
      <c r="G140" s="15"/>
      <c r="H140" s="11"/>
      <c r="I140" s="15"/>
    </row>
    <row r="141">
      <c r="A141" s="11">
        <f>IFERROR(__xludf.DUMMYFUNCTION("""COMPUTED_VALUE"""),7536.0)</f>
        <v>7536</v>
      </c>
      <c r="B141" s="11" t="str">
        <f>IFERROR(__xludf.DUMMYFUNCTION("""COMPUTED_VALUE"""),"C")</f>
        <v>C</v>
      </c>
      <c r="C141" s="11" t="str">
        <f>IFERROR(__xludf.DUMMYFUNCTION("""COMPUTED_VALUE"""),"Diallo O.")</f>
        <v>Diallo O.</v>
      </c>
      <c r="D141" s="11" t="str">
        <f>IFERROR(__xludf.DUMMYFUNCTION("""COMPUTED_VALUE"""),"Parma")</f>
        <v>Parma</v>
      </c>
      <c r="E141" s="15">
        <f>IFERROR(__xludf.DUMMYFUNCTION("""COMPUTED_VALUE"""),7.0)</f>
        <v>7</v>
      </c>
      <c r="F141" s="17">
        <f>IFERROR(__xludf.DUMMYFUNCTION("""COMPUTED_VALUE"""),0.012)</f>
        <v>0.012</v>
      </c>
      <c r="G141" s="15"/>
      <c r="H141" s="11"/>
      <c r="I141" s="15"/>
    </row>
    <row r="142">
      <c r="A142" s="11">
        <f>IFERROR(__xludf.DUMMYFUNCTION("""COMPUTED_VALUE"""),6815.0)</f>
        <v>6815</v>
      </c>
      <c r="B142" s="11" t="str">
        <f>IFERROR(__xludf.DUMMYFUNCTION("""COMPUTED_VALUE"""),"C")</f>
        <v>C</v>
      </c>
      <c r="C142" s="11" t="str">
        <f>IFERROR(__xludf.DUMMYFUNCTION("""COMPUTED_VALUE"""),"Fadera")</f>
        <v>Fadera</v>
      </c>
      <c r="D142" s="11" t="str">
        <f>IFERROR(__xludf.DUMMYFUNCTION("""COMPUTED_VALUE"""),"Cagliari")</f>
        <v>Cagliari</v>
      </c>
      <c r="E142" s="15">
        <f>IFERROR(__xludf.DUMMYFUNCTION("""COMPUTED_VALUE"""),7.0)</f>
        <v>7</v>
      </c>
      <c r="F142" s="17">
        <f>IFERROR(__xludf.DUMMYFUNCTION("""COMPUTED_VALUE"""),0.012)</f>
        <v>0.012</v>
      </c>
      <c r="G142" s="15"/>
      <c r="H142" s="11"/>
      <c r="I142" s="15"/>
    </row>
    <row r="143">
      <c r="A143" s="11">
        <f>IFERROR(__xludf.DUMMYFUNCTION("""COMPUTED_VALUE"""),7575.0)</f>
        <v>7575</v>
      </c>
      <c r="B143" s="11" t="str">
        <f>IFERROR(__xludf.DUMMYFUNCTION("""COMPUTED_VALUE"""),"C")</f>
        <v>C</v>
      </c>
      <c r="C143" s="11" t="str">
        <f>IFERROR(__xludf.DUMMYFUNCTION("""COMPUTED_VALUE"""),"Mout")</f>
        <v>Mout</v>
      </c>
      <c r="D143" s="11" t="str">
        <f>IFERROR(__xludf.DUMMYFUNCTION("""COMPUTED_VALUE"""),"Monza")</f>
        <v>Monza</v>
      </c>
      <c r="E143" s="15">
        <f>IFERROR(__xludf.DUMMYFUNCTION("""COMPUTED_VALUE"""),7.0)</f>
        <v>7</v>
      </c>
      <c r="F143" s="17">
        <f>IFERROR(__xludf.DUMMYFUNCTION("""COMPUTED_VALUE"""),0.012)</f>
        <v>0.012</v>
      </c>
      <c r="G143" s="15"/>
      <c r="H143" s="11"/>
      <c r="I143" s="15"/>
    </row>
    <row r="144">
      <c r="A144" s="11">
        <f>IFERROR(__xludf.DUMMYFUNCTION("""COMPUTED_VALUE"""),7528.0)</f>
        <v>7528</v>
      </c>
      <c r="B144" s="11" t="str">
        <f>IFERROR(__xludf.DUMMYFUNCTION("""COMPUTED_VALUE"""),"C")</f>
        <v>C</v>
      </c>
      <c r="C144" s="11" t="str">
        <f>IFERROR(__xludf.DUMMYFUNCTION("""COMPUTED_VALUE"""),"Amondarain")</f>
        <v>Amondarain</v>
      </c>
      <c r="D144" s="11" t="str">
        <f>IFERROR(__xludf.DUMMYFUNCTION("""COMPUTED_VALUE"""),"Bologna")</f>
        <v>Bologna</v>
      </c>
      <c r="E144" s="15">
        <f>IFERROR(__xludf.DUMMYFUNCTION("""COMPUTED_VALUE"""),6.0)</f>
        <v>6</v>
      </c>
      <c r="F144" s="17">
        <f>IFERROR(__xludf.DUMMYFUNCTION("""COMPUTED_VALUE"""),0.01)</f>
        <v>0.01</v>
      </c>
      <c r="G144" s="15"/>
      <c r="H144" s="11"/>
      <c r="I144" s="15"/>
    </row>
    <row r="145">
      <c r="A145" s="11">
        <f>IFERROR(__xludf.DUMMYFUNCTION("""COMPUTED_VALUE"""),22.0)</f>
        <v>22</v>
      </c>
      <c r="B145" s="11" t="str">
        <f>IFERROR(__xludf.DUMMYFUNCTION("""COMPUTED_VALUE"""),"C")</f>
        <v>C</v>
      </c>
      <c r="C145" s="11" t="str">
        <f>IFERROR(__xludf.DUMMYFUNCTION("""COMPUTED_VALUE"""),"De Roon")</f>
        <v>De Roon</v>
      </c>
      <c r="D145" s="11" t="str">
        <f>IFERROR(__xludf.DUMMYFUNCTION("""COMPUTED_VALUE"""),"Roma")</f>
        <v>Roma</v>
      </c>
      <c r="E145" s="15">
        <f>IFERROR(__xludf.DUMMYFUNCTION("""COMPUTED_VALUE"""),6.0)</f>
        <v>6</v>
      </c>
      <c r="F145" s="17">
        <f>IFERROR(__xludf.DUMMYFUNCTION("""COMPUTED_VALUE"""),0.01)</f>
        <v>0.01</v>
      </c>
      <c r="G145" s="15"/>
      <c r="H145" s="11"/>
      <c r="I145" s="15"/>
    </row>
    <row r="146">
      <c r="A146" s="11">
        <f>IFERROR(__xludf.DUMMYFUNCTION("""COMPUTED_VALUE"""),7127.0)</f>
        <v>7127</v>
      </c>
      <c r="B146" s="11" t="str">
        <f>IFERROR(__xludf.DUMMYFUNCTION("""COMPUTED_VALUE"""),"C")</f>
        <v>C</v>
      </c>
      <c r="C146" s="11" t="str">
        <f>IFERROR(__xludf.DUMMYFUNCTION("""COMPUTED_VALUE"""),"Addai")</f>
        <v>Addai</v>
      </c>
      <c r="D146" s="11" t="str">
        <f>IFERROR(__xludf.DUMMYFUNCTION("""COMPUTED_VALUE"""),"Como")</f>
        <v>Como</v>
      </c>
      <c r="E146" s="15">
        <f>IFERROR(__xludf.DUMMYFUNCTION("""COMPUTED_VALUE"""),6.0)</f>
        <v>6</v>
      </c>
      <c r="F146" s="17">
        <f>IFERROR(__xludf.DUMMYFUNCTION("""COMPUTED_VALUE"""),0.01)</f>
        <v>0.01</v>
      </c>
      <c r="G146" s="15"/>
      <c r="H146" s="11"/>
      <c r="I146" s="15"/>
    </row>
    <row r="147">
      <c r="A147" s="11">
        <f>IFERROR(__xludf.DUMMYFUNCTION("""COMPUTED_VALUE"""),7318.0)</f>
        <v>7318</v>
      </c>
      <c r="B147" s="11" t="str">
        <f>IFERROR(__xludf.DUMMYFUNCTION("""COMPUTED_VALUE"""),"C")</f>
        <v>C</v>
      </c>
      <c r="C147" s="11" t="str">
        <f>IFERROR(__xludf.DUMMYFUNCTION("""COMPUTED_VALUE"""),"Gandelman")</f>
        <v>Gandelman</v>
      </c>
      <c r="D147" s="11" t="str">
        <f>IFERROR(__xludf.DUMMYFUNCTION("""COMPUTED_VALUE"""),"Lecce")</f>
        <v>Lecce</v>
      </c>
      <c r="E147" s="15">
        <f>IFERROR(__xludf.DUMMYFUNCTION("""COMPUTED_VALUE"""),6.0)</f>
        <v>6</v>
      </c>
      <c r="F147" s="17">
        <f>IFERROR(__xludf.DUMMYFUNCTION("""COMPUTED_VALUE"""),0.01)</f>
        <v>0.01</v>
      </c>
      <c r="G147" s="15"/>
      <c r="H147" s="11"/>
      <c r="I147" s="15"/>
    </row>
    <row r="148">
      <c r="A148" s="11">
        <f>IFERROR(__xludf.DUMMYFUNCTION("""COMPUTED_VALUE"""),7550.0)</f>
        <v>7550</v>
      </c>
      <c r="B148" s="11" t="str">
        <f>IFERROR(__xludf.DUMMYFUNCTION("""COMPUTED_VALUE"""),"C")</f>
        <v>C</v>
      </c>
      <c r="C148" s="11" t="str">
        <f>IFERROR(__xludf.DUMMYFUNCTION("""COMPUTED_VALUE"""),"Grillitsch")</f>
        <v>Grillitsch</v>
      </c>
      <c r="D148" s="11" t="str">
        <f>IFERROR(__xludf.DUMMYFUNCTION("""COMPUTED_VALUE"""),"Frosinone")</f>
        <v>Frosinone</v>
      </c>
      <c r="E148" s="15">
        <f>IFERROR(__xludf.DUMMYFUNCTION("""COMPUTED_VALUE"""),6.0)</f>
        <v>6</v>
      </c>
      <c r="F148" s="17">
        <f>IFERROR(__xludf.DUMMYFUNCTION("""COMPUTED_VALUE"""),0.01)</f>
        <v>0.01</v>
      </c>
      <c r="G148" s="15"/>
      <c r="H148" s="11"/>
      <c r="I148" s="15"/>
    </row>
    <row r="149">
      <c r="A149" s="11">
        <f>IFERROR(__xludf.DUMMYFUNCTION("""COMPUTED_VALUE"""),5131.0)</f>
        <v>5131</v>
      </c>
      <c r="B149" s="11" t="str">
        <f>IFERROR(__xludf.DUMMYFUNCTION("""COMPUTED_VALUE"""),"C")</f>
        <v>C</v>
      </c>
      <c r="C149" s="11" t="str">
        <f>IFERROR(__xludf.DUMMYFUNCTION("""COMPUTED_VALUE"""),"Gilmour")</f>
        <v>Gilmour</v>
      </c>
      <c r="D149" s="11" t="str">
        <f>IFERROR(__xludf.DUMMYFUNCTION("""COMPUTED_VALUE"""),"Napoli")</f>
        <v>Napoli</v>
      </c>
      <c r="E149" s="15">
        <f>IFERROR(__xludf.DUMMYFUNCTION("""COMPUTED_VALUE"""),6.0)</f>
        <v>6</v>
      </c>
      <c r="F149" s="17">
        <f>IFERROR(__xludf.DUMMYFUNCTION("""COMPUTED_VALUE"""),0.01)</f>
        <v>0.01</v>
      </c>
      <c r="G149" s="15"/>
      <c r="H149" s="11"/>
      <c r="I149" s="15"/>
    </row>
    <row r="150">
      <c r="A150" s="11">
        <f>IFERROR(__xludf.DUMMYFUNCTION("""COMPUTED_VALUE"""),7138.0)</f>
        <v>7138</v>
      </c>
      <c r="B150" s="11" t="str">
        <f>IFERROR(__xludf.DUMMYFUNCTION("""COMPUTED_VALUE"""),"C")</f>
        <v>C</v>
      </c>
      <c r="C150" s="11" t="str">
        <f>IFERROR(__xludf.DUMMYFUNCTION("""COMPUTED_VALUE"""),"Ordonez C.")</f>
        <v>Ordonez C.</v>
      </c>
      <c r="D150" s="11" t="str">
        <f>IFERROR(__xludf.DUMMYFUNCTION("""COMPUTED_VALUE"""),"Parma")</f>
        <v>Parma</v>
      </c>
      <c r="E150" s="15">
        <f>IFERROR(__xludf.DUMMYFUNCTION("""COMPUTED_VALUE"""),6.0)</f>
        <v>6</v>
      </c>
      <c r="F150" s="17">
        <f>IFERROR(__xludf.DUMMYFUNCTION("""COMPUTED_VALUE"""),0.01)</f>
        <v>0.01</v>
      </c>
      <c r="G150" s="15"/>
      <c r="H150" s="11"/>
      <c r="I150" s="15"/>
    </row>
    <row r="151">
      <c r="A151" s="11">
        <f>IFERROR(__xludf.DUMMYFUNCTION("""COMPUTED_VALUE"""),6225.0)</f>
        <v>6225</v>
      </c>
      <c r="B151" s="11" t="str">
        <f>IFERROR(__xludf.DUMMYFUNCTION("""COMPUTED_VALUE"""),"C")</f>
        <v>C</v>
      </c>
      <c r="C151" s="11" t="str">
        <f>IFERROR(__xludf.DUMMYFUNCTION("""COMPUTED_VALUE"""),"El Azzouzi O.")</f>
        <v>El Azzouzi O.</v>
      </c>
      <c r="D151" s="11" t="str">
        <f>IFERROR(__xludf.DUMMYFUNCTION("""COMPUTED_VALUE"""),"Bologna")</f>
        <v>Bologna</v>
      </c>
      <c r="E151" s="15">
        <f>IFERROR(__xludf.DUMMYFUNCTION("""COMPUTED_VALUE"""),6.0)</f>
        <v>6</v>
      </c>
      <c r="F151" s="17">
        <f>IFERROR(__xludf.DUMMYFUNCTION("""COMPUTED_VALUE"""),0.01)</f>
        <v>0.01</v>
      </c>
      <c r="G151" s="15"/>
      <c r="H151" s="11"/>
      <c r="I151" s="15"/>
    </row>
    <row r="152">
      <c r="A152" s="11">
        <f>IFERROR(__xludf.DUMMYFUNCTION("""COMPUTED_VALUE"""),5007.0)</f>
        <v>5007</v>
      </c>
      <c r="B152" s="11" t="str">
        <f>IFERROR(__xludf.DUMMYFUNCTION("""COMPUTED_VALUE"""),"C")</f>
        <v>C</v>
      </c>
      <c r="C152" s="11" t="str">
        <f>IFERROR(__xludf.DUMMYFUNCTION("""COMPUTED_VALUE"""),"Ilic")</f>
        <v>Ilic</v>
      </c>
      <c r="D152" s="11" t="str">
        <f>IFERROR(__xludf.DUMMYFUNCTION("""COMPUTED_VALUE"""),"Lecce")</f>
        <v>Lecce</v>
      </c>
      <c r="E152" s="15">
        <f>IFERROR(__xludf.DUMMYFUNCTION("""COMPUTED_VALUE"""),6.0)</f>
        <v>6</v>
      </c>
      <c r="F152" s="17">
        <f>IFERROR(__xludf.DUMMYFUNCTION("""COMPUTED_VALUE"""),0.01)</f>
        <v>0.01</v>
      </c>
      <c r="G152" s="15"/>
      <c r="H152" s="11"/>
      <c r="I152" s="15"/>
    </row>
    <row r="153">
      <c r="A153" s="11">
        <f>IFERROR(__xludf.DUMMYFUNCTION("""COMPUTED_VALUE"""),6206.0)</f>
        <v>6206</v>
      </c>
      <c r="B153" s="11" t="str">
        <f>IFERROR(__xludf.DUMMYFUNCTION("""COMPUTED_VALUE"""),"C")</f>
        <v>C</v>
      </c>
      <c r="C153" s="11" t="str">
        <f>IFERROR(__xludf.DUMMYFUNCTION("""COMPUTED_VALUE"""),"Fabbian")</f>
        <v>Fabbian</v>
      </c>
      <c r="D153" s="11" t="str">
        <f>IFERROR(__xludf.DUMMYFUNCTION("""COMPUTED_VALUE"""),"Parma")</f>
        <v>Parma</v>
      </c>
      <c r="E153" s="15">
        <f>IFERROR(__xludf.DUMMYFUNCTION("""COMPUTED_VALUE"""),5.0)</f>
        <v>5</v>
      </c>
      <c r="F153" s="17">
        <f>IFERROR(__xludf.DUMMYFUNCTION("""COMPUTED_VALUE"""),0.008)</f>
        <v>0.008</v>
      </c>
      <c r="G153" s="15"/>
      <c r="H153" s="11"/>
      <c r="I153" s="15"/>
    </row>
    <row r="154">
      <c r="A154" s="11">
        <f>IFERROR(__xludf.DUMMYFUNCTION("""COMPUTED_VALUE"""),4970.0)</f>
        <v>4970</v>
      </c>
      <c r="B154" s="11" t="str">
        <f>IFERROR(__xludf.DUMMYFUNCTION("""COMPUTED_VALUE"""),"C")</f>
        <v>C</v>
      </c>
      <c r="C154" s="11" t="str">
        <f>IFERROR(__xludf.DUMMYFUNCTION("""COMPUTED_VALUE"""),"Messias")</f>
        <v>Messias</v>
      </c>
      <c r="D154" s="11" t="str">
        <f>IFERROR(__xludf.DUMMYFUNCTION("""COMPUTED_VALUE"""),"Genoa")</f>
        <v>Genoa</v>
      </c>
      <c r="E154" s="15">
        <f>IFERROR(__xludf.DUMMYFUNCTION("""COMPUTED_VALUE"""),5.0)</f>
        <v>5</v>
      </c>
      <c r="F154" s="17">
        <f>IFERROR(__xludf.DUMMYFUNCTION("""COMPUTED_VALUE"""),0.008)</f>
        <v>0.008</v>
      </c>
      <c r="G154" s="15"/>
      <c r="H154" s="11"/>
      <c r="I154" s="15"/>
    </row>
    <row r="155">
      <c r="A155" s="11">
        <f>IFERROR(__xludf.DUMMYFUNCTION("""COMPUTED_VALUE"""),2529.0)</f>
        <v>2529</v>
      </c>
      <c r="B155" s="11" t="str">
        <f>IFERROR(__xludf.DUMMYFUNCTION("""COMPUTED_VALUE"""),"C")</f>
        <v>C</v>
      </c>
      <c r="C155" s="11" t="str">
        <f>IFERROR(__xludf.DUMMYFUNCTION("""COMPUTED_VALUE"""),"Mkhitaryan")</f>
        <v>Mkhitaryan</v>
      </c>
      <c r="D155" s="11" t="str">
        <f>IFERROR(__xludf.DUMMYFUNCTION("""COMPUTED_VALUE"""),"Inter")</f>
        <v>Inter</v>
      </c>
      <c r="E155" s="15">
        <f>IFERROR(__xludf.DUMMYFUNCTION("""COMPUTED_VALUE"""),5.0)</f>
        <v>5</v>
      </c>
      <c r="F155" s="17">
        <f>IFERROR(__xludf.DUMMYFUNCTION("""COMPUTED_VALUE"""),0.009)</f>
        <v>0.009</v>
      </c>
      <c r="G155" s="15"/>
      <c r="H155" s="11"/>
      <c r="I155" s="15"/>
    </row>
    <row r="156">
      <c r="A156" s="11">
        <f>IFERROR(__xludf.DUMMYFUNCTION("""COMPUTED_VALUE"""),6005.0)</f>
        <v>6005</v>
      </c>
      <c r="B156" s="11" t="str">
        <f>IFERROR(__xludf.DUMMYFUNCTION("""COMPUTED_VALUE"""),"C")</f>
        <v>C</v>
      </c>
      <c r="C156" s="11" t="str">
        <f>IFERROR(__xludf.DUMMYFUNCTION("""COMPUTED_VALUE"""),"Ilkhan")</f>
        <v>Ilkhan</v>
      </c>
      <c r="D156" s="11" t="str">
        <f>IFERROR(__xludf.DUMMYFUNCTION("""COMPUTED_VALUE"""),"Torino")</f>
        <v>Torino</v>
      </c>
      <c r="E156" s="15">
        <f>IFERROR(__xludf.DUMMYFUNCTION("""COMPUTED_VALUE"""),5.0)</f>
        <v>5</v>
      </c>
      <c r="F156" s="17">
        <f>IFERROR(__xludf.DUMMYFUNCTION("""COMPUTED_VALUE"""),0.008)</f>
        <v>0.008</v>
      </c>
      <c r="G156" s="15"/>
      <c r="H156" s="11"/>
      <c r="I156" s="15"/>
    </row>
    <row r="157">
      <c r="A157" s="11">
        <f>IFERROR(__xludf.DUMMYFUNCTION("""COMPUTED_VALUE"""),1871.0)</f>
        <v>1871</v>
      </c>
      <c r="B157" s="11" t="str">
        <f>IFERROR(__xludf.DUMMYFUNCTION("""COMPUTED_VALUE"""),"C")</f>
        <v>C</v>
      </c>
      <c r="C157" s="11" t="str">
        <f>IFERROR(__xludf.DUMMYFUNCTION("""COMPUTED_VALUE"""),"Deiola")</f>
        <v>Deiola</v>
      </c>
      <c r="D157" s="11" t="str">
        <f>IFERROR(__xludf.DUMMYFUNCTION("""COMPUTED_VALUE"""),"Cagliari")</f>
        <v>Cagliari</v>
      </c>
      <c r="E157" s="15">
        <f>IFERROR(__xludf.DUMMYFUNCTION("""COMPUTED_VALUE"""),5.0)</f>
        <v>5</v>
      </c>
      <c r="F157" s="17">
        <f>IFERROR(__xludf.DUMMYFUNCTION("""COMPUTED_VALUE"""),0.008)</f>
        <v>0.008</v>
      </c>
      <c r="G157" s="15"/>
      <c r="H157" s="11"/>
      <c r="I157" s="15"/>
    </row>
    <row r="158">
      <c r="A158" s="11">
        <f>IFERROR(__xludf.DUMMYFUNCTION("""COMPUTED_VALUE"""),6917.0)</f>
        <v>6917</v>
      </c>
      <c r="B158" s="11" t="str">
        <f>IFERROR(__xludf.DUMMYFUNCTION("""COMPUTED_VALUE"""),"C")</f>
        <v>C</v>
      </c>
      <c r="C158" s="11" t="str">
        <f>IFERROR(__xludf.DUMMYFUNCTION("""COMPUTED_VALUE"""),"Masini")</f>
        <v>Masini</v>
      </c>
      <c r="D158" s="11" t="str">
        <f>IFERROR(__xludf.DUMMYFUNCTION("""COMPUTED_VALUE"""),"Frosinone")</f>
        <v>Frosinone</v>
      </c>
      <c r="E158" s="15">
        <f>IFERROR(__xludf.DUMMYFUNCTION("""COMPUTED_VALUE"""),5.0)</f>
        <v>5</v>
      </c>
      <c r="F158" s="17">
        <f>IFERROR(__xludf.DUMMYFUNCTION("""COMPUTED_VALUE"""),0.008)</f>
        <v>0.008</v>
      </c>
      <c r="G158" s="15"/>
      <c r="H158" s="11"/>
      <c r="I158" s="15"/>
    </row>
    <row r="159">
      <c r="A159" s="11">
        <f>IFERROR(__xludf.DUMMYFUNCTION("""COMPUTED_VALUE"""),801.0)</f>
        <v>801</v>
      </c>
      <c r="B159" s="11" t="str">
        <f>IFERROR(__xludf.DUMMYFUNCTION("""COMPUTED_VALUE"""),"C")</f>
        <v>C</v>
      </c>
      <c r="C159" s="11" t="str">
        <f>IFERROR(__xludf.DUMMYFUNCTION("""COMPUTED_VALUE"""),"Gagliardini")</f>
        <v>Gagliardini</v>
      </c>
      <c r="D159" s="11" t="str">
        <f>IFERROR(__xludf.DUMMYFUNCTION("""COMPUTED_VALUE"""),"Cagliari")</f>
        <v>Cagliari</v>
      </c>
      <c r="E159" s="15">
        <f>IFERROR(__xludf.DUMMYFUNCTION("""COMPUTED_VALUE"""),5.0)</f>
        <v>5</v>
      </c>
      <c r="F159" s="17">
        <f>IFERROR(__xludf.DUMMYFUNCTION("""COMPUTED_VALUE"""),0.008)</f>
        <v>0.008</v>
      </c>
      <c r="G159" s="15"/>
      <c r="H159" s="11"/>
      <c r="I159" s="15"/>
    </row>
    <row r="160">
      <c r="A160" s="11">
        <f>IFERROR(__xludf.DUMMYFUNCTION("""COMPUTED_VALUE"""),7232.0)</f>
        <v>7232</v>
      </c>
      <c r="B160" s="11" t="str">
        <f>IFERROR(__xludf.DUMMYFUNCTION("""COMPUTED_VALUE"""),"C")</f>
        <v>C</v>
      </c>
      <c r="C160" s="11" t="str">
        <f>IFERROR(__xludf.DUMMYFUNCTION("""COMPUTED_VALUE"""),"Fernandez T.")</f>
        <v>Fernandez T.</v>
      </c>
      <c r="D160" s="11" t="str">
        <f>IFERROR(__xludf.DUMMYFUNCTION("""COMPUTED_VALUE"""),"Venezia")</f>
        <v>Venezia</v>
      </c>
      <c r="E160" s="15">
        <f>IFERROR(__xludf.DUMMYFUNCTION("""COMPUTED_VALUE"""),5.0)</f>
        <v>5</v>
      </c>
      <c r="F160" s="17">
        <f>IFERROR(__xludf.DUMMYFUNCTION("""COMPUTED_VALUE"""),0.008)</f>
        <v>0.008</v>
      </c>
      <c r="G160" s="15"/>
      <c r="H160" s="11"/>
      <c r="I160" s="15"/>
    </row>
    <row r="161">
      <c r="A161" s="11">
        <f>IFERROR(__xludf.DUMMYFUNCTION("""COMPUTED_VALUE"""),6640.0)</f>
        <v>6640</v>
      </c>
      <c r="B161" s="11" t="str">
        <f>IFERROR(__xludf.DUMMYFUNCTION("""COMPUTED_VALUE"""),"C")</f>
        <v>C</v>
      </c>
      <c r="C161" s="11" t="str">
        <f>IFERROR(__xludf.DUMMYFUNCTION("""COMPUTED_VALUE"""),"Felici")</f>
        <v>Felici</v>
      </c>
      <c r="D161" s="11" t="str">
        <f>IFERROR(__xludf.DUMMYFUNCTION("""COMPUTED_VALUE"""),"Cagliari")</f>
        <v>Cagliari</v>
      </c>
      <c r="E161" s="15">
        <f>IFERROR(__xludf.DUMMYFUNCTION("""COMPUTED_VALUE"""),4.0)</f>
        <v>4</v>
      </c>
      <c r="F161" s="17">
        <f>IFERROR(__xludf.DUMMYFUNCTION("""COMPUTED_VALUE"""),0.007)</f>
        <v>0.007</v>
      </c>
      <c r="G161" s="15"/>
      <c r="H161" s="11"/>
      <c r="I161" s="15"/>
    </row>
    <row r="162">
      <c r="A162" s="11">
        <f>IFERROR(__xludf.DUMMYFUNCTION("""COMPUTED_VALUE"""),6024.0)</f>
        <v>6024</v>
      </c>
      <c r="B162" s="11" t="str">
        <f>IFERROR(__xludf.DUMMYFUNCTION("""COMPUTED_VALUE"""),"C")</f>
        <v>C</v>
      </c>
      <c r="C162" s="11" t="str">
        <f>IFERROR(__xludf.DUMMYFUNCTION("""COMPUTED_VALUE"""),"Sulemana I.")</f>
        <v>Sulemana I.</v>
      </c>
      <c r="D162" s="11" t="str">
        <f>IFERROR(__xludf.DUMMYFUNCTION("""COMPUTED_VALUE"""),"Sassuolo")</f>
        <v>Sassuolo</v>
      </c>
      <c r="E162" s="15">
        <f>IFERROR(__xludf.DUMMYFUNCTION("""COMPUTED_VALUE"""),4.0)</f>
        <v>4</v>
      </c>
      <c r="F162" s="17">
        <f>IFERROR(__xludf.DUMMYFUNCTION("""COMPUTED_VALUE"""),0.007)</f>
        <v>0.007</v>
      </c>
      <c r="G162" s="15"/>
      <c r="H162" s="11"/>
      <c r="I162" s="15"/>
    </row>
    <row r="163">
      <c r="A163" s="11">
        <f>IFERROR(__xludf.DUMMYFUNCTION("""COMPUTED_VALUE"""),6241.0)</f>
        <v>6241</v>
      </c>
      <c r="B163" s="11" t="str">
        <f>IFERROR(__xludf.DUMMYFUNCTION("""COMPUTED_VALUE"""),"C")</f>
        <v>C</v>
      </c>
      <c r="C163" s="11" t="str">
        <f>IFERROR(__xludf.DUMMYFUNCTION("""COMPUTED_VALUE"""),"Gelli F.")</f>
        <v>Gelli F.</v>
      </c>
      <c r="D163" s="11" t="str">
        <f>IFERROR(__xludf.DUMMYFUNCTION("""COMPUTED_VALUE"""),"Frosinone")</f>
        <v>Frosinone</v>
      </c>
      <c r="E163" s="15">
        <f>IFERROR(__xludf.DUMMYFUNCTION("""COMPUTED_VALUE"""),4.0)</f>
        <v>4</v>
      </c>
      <c r="F163" s="17">
        <f>IFERROR(__xludf.DUMMYFUNCTION("""COMPUTED_VALUE"""),0.006)</f>
        <v>0.006</v>
      </c>
      <c r="G163" s="15"/>
      <c r="H163" s="11"/>
      <c r="I163" s="15"/>
    </row>
    <row r="164">
      <c r="A164" s="11">
        <f>IFERROR(__xludf.DUMMYFUNCTION("""COMPUTED_VALUE"""),6503.0)</f>
        <v>6503</v>
      </c>
      <c r="B164" s="11" t="str">
        <f>IFERROR(__xludf.DUMMYFUNCTION("""COMPUTED_VALUE"""),"C")</f>
        <v>C</v>
      </c>
      <c r="C164" s="11" t="str">
        <f>IFERROR(__xludf.DUMMYFUNCTION("""COMPUTED_VALUE"""),"Stankovic A.")</f>
        <v>Stankovic A.</v>
      </c>
      <c r="D164" s="11" t="str">
        <f>IFERROR(__xludf.DUMMYFUNCTION("""COMPUTED_VALUE"""),"Inter")</f>
        <v>Inter</v>
      </c>
      <c r="E164" s="15">
        <f>IFERROR(__xludf.DUMMYFUNCTION("""COMPUTED_VALUE"""),4.0)</f>
        <v>4</v>
      </c>
      <c r="F164" s="17">
        <f>IFERROR(__xludf.DUMMYFUNCTION("""COMPUTED_VALUE"""),0.007)</f>
        <v>0.007</v>
      </c>
      <c r="G164" s="15"/>
      <c r="H164" s="11"/>
      <c r="I164" s="15"/>
    </row>
    <row r="165">
      <c r="A165" s="11">
        <f>IFERROR(__xludf.DUMMYFUNCTION("""COMPUTED_VALUE"""),5457.0)</f>
        <v>5457</v>
      </c>
      <c r="B165" s="11" t="str">
        <f>IFERROR(__xludf.DUMMYFUNCTION("""COMPUTED_VALUE"""),"C")</f>
        <v>C</v>
      </c>
      <c r="C165" s="11" t="str">
        <f>IFERROR(__xludf.DUMMYFUNCTION("""COMPUTED_VALUE"""),"Maleh")</f>
        <v>Maleh</v>
      </c>
      <c r="D165" s="11" t="str">
        <f>IFERROR(__xludf.DUMMYFUNCTION("""COMPUTED_VALUE"""),"Lecce")</f>
        <v>Lecce</v>
      </c>
      <c r="E165" s="15">
        <f>IFERROR(__xludf.DUMMYFUNCTION("""COMPUTED_VALUE"""),4.0)</f>
        <v>4</v>
      </c>
      <c r="F165" s="17">
        <f>IFERROR(__xludf.DUMMYFUNCTION("""COMPUTED_VALUE"""),0.007)</f>
        <v>0.007</v>
      </c>
      <c r="G165" s="15"/>
      <c r="H165" s="11"/>
      <c r="I165" s="15"/>
    </row>
    <row r="166">
      <c r="A166" s="11">
        <f>IFERROR(__xludf.DUMMYFUNCTION("""COMPUTED_VALUE"""),5880.0)</f>
        <v>5880</v>
      </c>
      <c r="B166" s="11" t="str">
        <f>IFERROR(__xludf.DUMMYFUNCTION("""COMPUTED_VALUE"""),"C")</f>
        <v>C</v>
      </c>
      <c r="C166" s="11" t="str">
        <f>IFERROR(__xludf.DUMMYFUNCTION("""COMPUTED_VALUE"""),"Ciurria")</f>
        <v>Ciurria</v>
      </c>
      <c r="D166" s="11" t="str">
        <f>IFERROR(__xludf.DUMMYFUNCTION("""COMPUTED_VALUE"""),"Monza")</f>
        <v>Monza</v>
      </c>
      <c r="E166" s="15">
        <f>IFERROR(__xludf.DUMMYFUNCTION("""COMPUTED_VALUE"""),4.0)</f>
        <v>4</v>
      </c>
      <c r="F166" s="17">
        <f>IFERROR(__xludf.DUMMYFUNCTION("""COMPUTED_VALUE"""),0.006)</f>
        <v>0.006</v>
      </c>
      <c r="G166" s="15"/>
      <c r="H166" s="11"/>
      <c r="I166" s="15"/>
    </row>
    <row r="167">
      <c r="A167" s="11">
        <f>IFERROR(__xludf.DUMMYFUNCTION("""COMPUTED_VALUE"""),7418.0)</f>
        <v>7418</v>
      </c>
      <c r="B167" s="11" t="str">
        <f>IFERROR(__xludf.DUMMYFUNCTION("""COMPUTED_VALUE"""),"C")</f>
        <v>C</v>
      </c>
      <c r="C167" s="11" t="str">
        <f>IFERROR(__xludf.DUMMYFUNCTION("""COMPUTED_VALUE"""),"Chakvetadze")</f>
        <v>Chakvetadze</v>
      </c>
      <c r="D167" s="11" t="str">
        <f>IFERROR(__xludf.DUMMYFUNCTION("""COMPUTED_VALUE"""),"Udinese")</f>
        <v>Udinese</v>
      </c>
      <c r="E167" s="15">
        <f>IFERROR(__xludf.DUMMYFUNCTION("""COMPUTED_VALUE"""),4.0)</f>
        <v>4</v>
      </c>
      <c r="F167" s="17">
        <f>IFERROR(__xludf.DUMMYFUNCTION("""COMPUTED_VALUE"""),0.006)</f>
        <v>0.006</v>
      </c>
      <c r="G167" s="15"/>
      <c r="H167" s="11"/>
      <c r="I167" s="15"/>
    </row>
    <row r="168">
      <c r="A168" s="11">
        <f>IFERROR(__xludf.DUMMYFUNCTION("""COMPUTED_VALUE"""),7183.0)</f>
        <v>7183</v>
      </c>
      <c r="B168" s="11" t="str">
        <f>IFERROR(__xludf.DUMMYFUNCTION("""COMPUTED_VALUE"""),"C")</f>
        <v>C</v>
      </c>
      <c r="C168" s="11" t="str">
        <f>IFERROR(__xludf.DUMMYFUNCTION("""COMPUTED_VALUE"""),"Aboukhlal")</f>
        <v>Aboukhlal</v>
      </c>
      <c r="D168" s="11" t="str">
        <f>IFERROR(__xludf.DUMMYFUNCTION("""COMPUTED_VALUE"""),"Torino")</f>
        <v>Torino</v>
      </c>
      <c r="E168" s="15">
        <f>IFERROR(__xludf.DUMMYFUNCTION("""COMPUTED_VALUE"""),3.0)</f>
        <v>3</v>
      </c>
      <c r="F168" s="17">
        <f>IFERROR(__xludf.DUMMYFUNCTION("""COMPUTED_VALUE"""),0.005)</f>
        <v>0.005</v>
      </c>
      <c r="G168" s="15"/>
      <c r="H168" s="11"/>
      <c r="I168" s="15"/>
    </row>
    <row r="169">
      <c r="A169" s="11">
        <f>IFERROR(__xludf.DUMMYFUNCTION("""COMPUTED_VALUE"""),6903.0)</f>
        <v>6903</v>
      </c>
      <c r="B169" s="11" t="str">
        <f>IFERROR(__xludf.DUMMYFUNCTION("""COMPUTED_VALUE"""),"C")</f>
        <v>C</v>
      </c>
      <c r="C169" s="11" t="str">
        <f>IFERROR(__xludf.DUMMYFUNCTION("""COMPUTED_VALUE"""),"Hasa")</f>
        <v>Hasa</v>
      </c>
      <c r="D169" s="11" t="str">
        <f>IFERROR(__xludf.DUMMYFUNCTION("""COMPUTED_VALUE"""),"Frosinone")</f>
        <v>Frosinone</v>
      </c>
      <c r="E169" s="15">
        <f>IFERROR(__xludf.DUMMYFUNCTION("""COMPUTED_VALUE"""),3.0)</f>
        <v>3</v>
      </c>
      <c r="F169" s="17">
        <f>IFERROR(__xludf.DUMMYFUNCTION("""COMPUTED_VALUE"""),0.005)</f>
        <v>0.005</v>
      </c>
      <c r="G169" s="15"/>
      <c r="H169" s="11"/>
      <c r="I169" s="15"/>
    </row>
    <row r="170">
      <c r="A170" s="11">
        <f>IFERROR(__xludf.DUMMYFUNCTION("""COMPUTED_VALUE"""),6219.0)</f>
        <v>6219</v>
      </c>
      <c r="B170" s="11" t="str">
        <f>IFERROR(__xludf.DUMMYFUNCTION("""COMPUTED_VALUE"""),"C")</f>
        <v>C</v>
      </c>
      <c r="C170" s="11" t="str">
        <f>IFERROR(__xludf.DUMMYFUNCTION("""COMPUTED_VALUE"""),"Boloca")</f>
        <v>Boloca</v>
      </c>
      <c r="D170" s="11" t="str">
        <f>IFERROR(__xludf.DUMMYFUNCTION("""COMPUTED_VALUE"""),"Sassuolo")</f>
        <v>Sassuolo</v>
      </c>
      <c r="E170" s="15">
        <f>IFERROR(__xludf.DUMMYFUNCTION("""COMPUTED_VALUE"""),3.0)</f>
        <v>3</v>
      </c>
      <c r="F170" s="17">
        <f>IFERROR(__xludf.DUMMYFUNCTION("""COMPUTED_VALUE"""),0.005)</f>
        <v>0.005</v>
      </c>
      <c r="G170" s="15"/>
      <c r="H170" s="11"/>
      <c r="I170" s="15"/>
    </row>
    <row r="171">
      <c r="A171" s="11">
        <f>IFERROR(__xludf.DUMMYFUNCTION("""COMPUTED_VALUE"""),6246.0)</f>
        <v>6246</v>
      </c>
      <c r="B171" s="11" t="str">
        <f>IFERROR(__xludf.DUMMYFUNCTION("""COMPUTED_VALUE"""),"C")</f>
        <v>C</v>
      </c>
      <c r="C171" s="11" t="str">
        <f>IFERROR(__xludf.DUMMYFUNCTION("""COMPUTED_VALUE"""),"Lipani")</f>
        <v>Lipani</v>
      </c>
      <c r="D171" s="11" t="str">
        <f>IFERROR(__xludf.DUMMYFUNCTION("""COMPUTED_VALUE"""),"Sassuolo")</f>
        <v>Sassuolo</v>
      </c>
      <c r="E171" s="15">
        <f>IFERROR(__xludf.DUMMYFUNCTION("""COMPUTED_VALUE"""),3.0)</f>
        <v>3</v>
      </c>
      <c r="F171" s="17">
        <f>IFERROR(__xludf.DUMMYFUNCTION("""COMPUTED_VALUE"""),0.005)</f>
        <v>0.005</v>
      </c>
      <c r="G171" s="15"/>
      <c r="H171" s="11"/>
      <c r="I171" s="15"/>
    </row>
    <row r="172">
      <c r="A172" s="11">
        <f>IFERROR(__xludf.DUMMYFUNCTION("""COMPUTED_VALUE"""),7092.0)</f>
        <v>7092</v>
      </c>
      <c r="B172" s="11" t="str">
        <f>IFERROR(__xludf.DUMMYFUNCTION("""COMPUTED_VALUE"""),"C")</f>
        <v>C</v>
      </c>
      <c r="C172" s="11" t="str">
        <f>IFERROR(__xludf.DUMMYFUNCTION("""COMPUTED_VALUE"""),"Jovanovic")</f>
        <v>Jovanovic</v>
      </c>
      <c r="D172" s="11" t="str">
        <f>IFERROR(__xludf.DUMMYFUNCTION("""COMPUTED_VALUE"""),"Udinese")</f>
        <v>Udinese</v>
      </c>
      <c r="E172" s="15">
        <f>IFERROR(__xludf.DUMMYFUNCTION("""COMPUTED_VALUE"""),3.0)</f>
        <v>3</v>
      </c>
      <c r="F172" s="17">
        <f>IFERROR(__xludf.DUMMYFUNCTION("""COMPUTED_VALUE"""),0.005)</f>
        <v>0.005</v>
      </c>
      <c r="G172" s="15"/>
      <c r="H172" s="11"/>
      <c r="I172" s="15"/>
    </row>
    <row r="173">
      <c r="A173" s="11">
        <f>IFERROR(__xludf.DUMMYFUNCTION("""COMPUTED_VALUE"""),7345.0)</f>
        <v>7345</v>
      </c>
      <c r="B173" s="11" t="str">
        <f>IFERROR(__xludf.DUMMYFUNCTION("""COMPUTED_VALUE"""),"C")</f>
        <v>C</v>
      </c>
      <c r="C173" s="11" t="str">
        <f>IFERROR(__xludf.DUMMYFUNCTION("""COMPUTED_VALUE"""),"Przyborek")</f>
        <v>Przyborek</v>
      </c>
      <c r="D173" s="11" t="str">
        <f>IFERROR(__xludf.DUMMYFUNCTION("""COMPUTED_VALUE"""),"Lazio")</f>
        <v>Lazio</v>
      </c>
      <c r="E173" s="15">
        <f>IFERROR(__xludf.DUMMYFUNCTION("""COMPUTED_VALUE"""),3.0)</f>
        <v>3</v>
      </c>
      <c r="F173" s="17">
        <f>IFERROR(__xludf.DUMMYFUNCTION("""COMPUTED_VALUE"""),0.005)</f>
        <v>0.005</v>
      </c>
      <c r="G173" s="15"/>
      <c r="H173" s="11"/>
      <c r="I173" s="15"/>
    </row>
    <row r="174">
      <c r="A174" s="11">
        <f>IFERROR(__xludf.DUMMYFUNCTION("""COMPUTED_VALUE"""),7477.0)</f>
        <v>7477</v>
      </c>
      <c r="B174" s="11" t="str">
        <f>IFERROR(__xludf.DUMMYFUNCTION("""COMPUTED_VALUE"""),"C")</f>
        <v>C</v>
      </c>
      <c r="C174" s="11" t="str">
        <f>IFERROR(__xludf.DUMMYFUNCTION("""COMPUTED_VALUE"""),"Colombo L.")</f>
        <v>Colombo L.</v>
      </c>
      <c r="D174" s="11" t="str">
        <f>IFERROR(__xludf.DUMMYFUNCTION("""COMPUTED_VALUE"""),"Monza")</f>
        <v>Monza</v>
      </c>
      <c r="E174" s="15">
        <f>IFERROR(__xludf.DUMMYFUNCTION("""COMPUTED_VALUE"""),2.0)</f>
        <v>2</v>
      </c>
      <c r="F174" s="17">
        <f>IFERROR(__xludf.DUMMYFUNCTION("""COMPUTED_VALUE"""),0.004)</f>
        <v>0.004</v>
      </c>
      <c r="G174" s="15"/>
      <c r="H174" s="11"/>
      <c r="I174" s="15"/>
    </row>
    <row r="175">
      <c r="A175" s="11">
        <f>IFERROR(__xludf.DUMMYFUNCTION("""COMPUTED_VALUE"""),5872.0)</f>
        <v>5872</v>
      </c>
      <c r="B175" s="11" t="str">
        <f>IFERROR(__xludf.DUMMYFUNCTION("""COMPUTED_VALUE"""),"C")</f>
        <v>C</v>
      </c>
      <c r="C175" s="11" t="str">
        <f>IFERROR(__xludf.DUMMYFUNCTION("""COMPUTED_VALUE"""),"Helgason")</f>
        <v>Helgason</v>
      </c>
      <c r="D175" s="11" t="str">
        <f>IFERROR(__xludf.DUMMYFUNCTION("""COMPUTED_VALUE"""),"Venezia")</f>
        <v>Venezia</v>
      </c>
      <c r="E175" s="15">
        <f>IFERROR(__xludf.DUMMYFUNCTION("""COMPUTED_VALUE"""),2.0)</f>
        <v>2</v>
      </c>
      <c r="F175" s="17">
        <f>IFERROR(__xludf.DUMMYFUNCTION("""COMPUTED_VALUE"""),0.003)</f>
        <v>0.003</v>
      </c>
      <c r="G175" s="15"/>
      <c r="H175" s="11"/>
      <c r="I175" s="15"/>
    </row>
    <row r="176">
      <c r="A176" s="11">
        <f>IFERROR(__xludf.DUMMYFUNCTION("""COMPUTED_VALUE"""),6980.0)</f>
        <v>6980</v>
      </c>
      <c r="B176" s="11" t="str">
        <f>IFERROR(__xludf.DUMMYFUNCTION("""COMPUTED_VALUE"""),"C")</f>
        <v>C</v>
      </c>
      <c r="C176" s="11" t="str">
        <f>IFERROR(__xludf.DUMMYFUNCTION("""COMPUTED_VALUE"""),"Venturino")</f>
        <v>Venturino</v>
      </c>
      <c r="D176" s="11" t="str">
        <f>IFERROR(__xludf.DUMMYFUNCTION("""COMPUTED_VALUE"""),"Genoa")</f>
        <v>Genoa</v>
      </c>
      <c r="E176" s="15">
        <f>IFERROR(__xludf.DUMMYFUNCTION("""COMPUTED_VALUE"""),2.0)</f>
        <v>2</v>
      </c>
      <c r="F176" s="17">
        <f>IFERROR(__xludf.DUMMYFUNCTION("""COMPUTED_VALUE"""),0.004)</f>
        <v>0.004</v>
      </c>
      <c r="G176" s="15"/>
      <c r="H176" s="11"/>
      <c r="I176" s="15"/>
    </row>
    <row r="177">
      <c r="A177" s="11">
        <f>IFERROR(__xludf.DUMMYFUNCTION("""COMPUTED_VALUE"""),6191.0)</f>
        <v>6191</v>
      </c>
      <c r="B177" s="11" t="str">
        <f>IFERROR(__xludf.DUMMYFUNCTION("""COMPUTED_VALUE"""),"C")</f>
        <v>C</v>
      </c>
      <c r="C177" s="11" t="str">
        <f>IFERROR(__xludf.DUMMYFUNCTION("""COMPUTED_VALUE"""),"Belahyane")</f>
        <v>Belahyane</v>
      </c>
      <c r="D177" s="11" t="str">
        <f>IFERROR(__xludf.DUMMYFUNCTION("""COMPUTED_VALUE"""),"Lazio")</f>
        <v>Lazio</v>
      </c>
      <c r="E177" s="15">
        <f>IFERROR(__xludf.DUMMYFUNCTION("""COMPUTED_VALUE"""),2.0)</f>
        <v>2</v>
      </c>
      <c r="F177" s="17">
        <f>IFERROR(__xludf.DUMMYFUNCTION("""COMPUTED_VALUE"""),0.003)</f>
        <v>0.003</v>
      </c>
      <c r="G177" s="15"/>
      <c r="H177" s="11"/>
      <c r="I177" s="15"/>
    </row>
    <row r="178">
      <c r="A178" s="11">
        <f>IFERROR(__xludf.DUMMYFUNCTION("""COMPUTED_VALUE"""),7276.0)</f>
        <v>7276</v>
      </c>
      <c r="B178" s="11" t="str">
        <f>IFERROR(__xludf.DUMMYFUNCTION("""COMPUTED_VALUE"""),"C")</f>
        <v>C</v>
      </c>
      <c r="C178" s="11" t="str">
        <f>IFERROR(__xludf.DUMMYFUNCTION("""COMPUTED_VALUE"""),"Cremaschi")</f>
        <v>Cremaschi</v>
      </c>
      <c r="D178" s="11" t="str">
        <f>IFERROR(__xludf.DUMMYFUNCTION("""COMPUTED_VALUE"""),"Parma")</f>
        <v>Parma</v>
      </c>
      <c r="E178" s="15">
        <f>IFERROR(__xludf.DUMMYFUNCTION("""COMPUTED_VALUE"""),2.0)</f>
        <v>2</v>
      </c>
      <c r="F178" s="17">
        <f>IFERROR(__xludf.DUMMYFUNCTION("""COMPUTED_VALUE"""),0.003)</f>
        <v>0.003</v>
      </c>
      <c r="G178" s="15"/>
      <c r="H178" s="11"/>
      <c r="I178" s="15"/>
    </row>
    <row r="179">
      <c r="A179" s="11">
        <f>IFERROR(__xludf.DUMMYFUNCTION("""COMPUTED_VALUE"""),6212.0)</f>
        <v>6212</v>
      </c>
      <c r="B179" s="11" t="str">
        <f>IFERROR(__xludf.DUMMYFUNCTION("""COMPUTED_VALUE"""),"C")</f>
        <v>C</v>
      </c>
      <c r="C179" s="11" t="str">
        <f>IFERROR(__xludf.DUMMYFUNCTION("""COMPUTED_VALUE"""),"Zarraga")</f>
        <v>Zarraga</v>
      </c>
      <c r="D179" s="11" t="str">
        <f>IFERROR(__xludf.DUMMYFUNCTION("""COMPUTED_VALUE"""),"Udinese")</f>
        <v>Udinese</v>
      </c>
      <c r="E179" s="15">
        <f>IFERROR(__xludf.DUMMYFUNCTION("""COMPUTED_VALUE"""),2.0)</f>
        <v>2</v>
      </c>
      <c r="F179" s="17">
        <f>IFERROR(__xludf.DUMMYFUNCTION("""COMPUTED_VALUE"""),0.004)</f>
        <v>0.004</v>
      </c>
      <c r="G179" s="15"/>
      <c r="H179" s="11"/>
      <c r="I179" s="15"/>
    </row>
    <row r="180">
      <c r="A180" s="11">
        <f>IFERROR(__xludf.DUMMYFUNCTION("""COMPUTED_VALUE"""),526.0)</f>
        <v>526</v>
      </c>
      <c r="B180" s="11" t="str">
        <f>IFERROR(__xludf.DUMMYFUNCTION("""COMPUTED_VALUE"""),"C")</f>
        <v>C</v>
      </c>
      <c r="C180" s="11" t="str">
        <f>IFERROR(__xludf.DUMMYFUNCTION("""COMPUTED_VALUE"""),"Duncan")</f>
        <v>Duncan</v>
      </c>
      <c r="D180" s="11" t="str">
        <f>IFERROR(__xludf.DUMMYFUNCTION("""COMPUTED_VALUE"""),"Venezia")</f>
        <v>Venezia</v>
      </c>
      <c r="E180" s="15">
        <f>IFERROR(__xludf.DUMMYFUNCTION("""COMPUTED_VALUE"""),2.0)</f>
        <v>2</v>
      </c>
      <c r="F180" s="17">
        <f>IFERROR(__xludf.DUMMYFUNCTION("""COMPUTED_VALUE"""),0.004)</f>
        <v>0.004</v>
      </c>
      <c r="G180" s="15"/>
      <c r="H180" s="11"/>
      <c r="I180" s="15"/>
    </row>
    <row r="181">
      <c r="A181" s="11">
        <f>IFERROR(__xludf.DUMMYFUNCTION("""COMPUTED_VALUE"""),5725.0)</f>
        <v>5725</v>
      </c>
      <c r="B181" s="11" t="str">
        <f>IFERROR(__xludf.DUMMYFUNCTION("""COMPUTED_VALUE"""),"C")</f>
        <v>C</v>
      </c>
      <c r="C181" s="11" t="str">
        <f>IFERROR(__xludf.DUMMYFUNCTION("""COMPUTED_VALUE"""),"Kone B.")</f>
        <v>Kone B.</v>
      </c>
      <c r="D181" s="11" t="str">
        <f>IFERROR(__xludf.DUMMYFUNCTION("""COMPUTED_VALUE"""),"Frosinone")</f>
        <v>Frosinone</v>
      </c>
      <c r="E181" s="15">
        <f>IFERROR(__xludf.DUMMYFUNCTION("""COMPUTED_VALUE"""),2.0)</f>
        <v>2</v>
      </c>
      <c r="F181" s="17">
        <f>IFERROR(__xludf.DUMMYFUNCTION("""COMPUTED_VALUE"""),0.003)</f>
        <v>0.003</v>
      </c>
      <c r="G181" s="15"/>
      <c r="H181" s="11"/>
      <c r="I181" s="15"/>
    </row>
    <row r="182">
      <c r="A182" s="11">
        <f>IFERROR(__xludf.DUMMYFUNCTION("""COMPUTED_VALUE"""),6592.0)</f>
        <v>6592</v>
      </c>
      <c r="B182" s="11" t="str">
        <f>IFERROR(__xludf.DUMMYFUNCTION("""COMPUTED_VALUE"""),"C")</f>
        <v>C</v>
      </c>
      <c r="C182" s="11" t="str">
        <f>IFERROR(__xludf.DUMMYFUNCTION("""COMPUTED_VALUE"""),"Forson O.")</f>
        <v>Forson O.</v>
      </c>
      <c r="D182" s="11" t="str">
        <f>IFERROR(__xludf.DUMMYFUNCTION("""COMPUTED_VALUE"""),"Monza")</f>
        <v>Monza</v>
      </c>
      <c r="E182" s="15">
        <f>IFERROR(__xludf.DUMMYFUNCTION("""COMPUTED_VALUE"""),1.0)</f>
        <v>1</v>
      </c>
      <c r="F182" s="17">
        <f>IFERROR(__xludf.DUMMYFUNCTION("""COMPUTED_VALUE"""),0.001)</f>
        <v>0.001</v>
      </c>
      <c r="G182" s="15"/>
      <c r="H182" s="11"/>
      <c r="I182" s="15"/>
    </row>
    <row r="183">
      <c r="A183" s="11">
        <f>IFERROR(__xludf.DUMMYFUNCTION("""COMPUTED_VALUE"""),7574.0)</f>
        <v>7574</v>
      </c>
      <c r="B183" s="11" t="str">
        <f>IFERROR(__xludf.DUMMYFUNCTION("""COMPUTED_VALUE"""),"C")</f>
        <v>C</v>
      </c>
      <c r="C183" s="11" t="str">
        <f>IFERROR(__xludf.DUMMYFUNCTION("""COMPUTED_VALUE"""),"Foe Ondoa")</f>
        <v>Foe Ondoa</v>
      </c>
      <c r="D183" s="11" t="str">
        <f>IFERROR(__xludf.DUMMYFUNCTION("""COMPUTED_VALUE"""),"Monza")</f>
        <v>Monza</v>
      </c>
      <c r="E183" s="15">
        <f>IFERROR(__xludf.DUMMYFUNCTION("""COMPUTED_VALUE"""),1.0)</f>
        <v>1</v>
      </c>
      <c r="F183" s="17">
        <f>IFERROR(__xludf.DUMMYFUNCTION("""COMPUTED_VALUE"""),0.002)</f>
        <v>0.002</v>
      </c>
      <c r="G183" s="15"/>
      <c r="H183" s="11"/>
      <c r="I183" s="15"/>
    </row>
    <row r="184">
      <c r="A184" s="11">
        <f>IFERROR(__xludf.DUMMYFUNCTION("""COMPUTED_VALUE"""),7165.0)</f>
        <v>7165</v>
      </c>
      <c r="B184" s="11" t="str">
        <f>IFERROR(__xludf.DUMMYFUNCTION("""COMPUTED_VALUE"""),"C")</f>
        <v>C</v>
      </c>
      <c r="C184" s="11" t="str">
        <f>IFERROR(__xludf.DUMMYFUNCTION("""COMPUTED_VALUE"""),"Liteta")</f>
        <v>Liteta</v>
      </c>
      <c r="D184" s="11" t="str">
        <f>IFERROR(__xludf.DUMMYFUNCTION("""COMPUTED_VALUE"""),"Cagliari")</f>
        <v>Cagliari</v>
      </c>
      <c r="E184" s="15">
        <f>IFERROR(__xludf.DUMMYFUNCTION("""COMPUTED_VALUE"""),1.0)</f>
        <v>1</v>
      </c>
      <c r="F184" s="17">
        <f>IFERROR(__xludf.DUMMYFUNCTION("""COMPUTED_VALUE"""),0.001)</f>
        <v>0.001</v>
      </c>
      <c r="G184" s="15"/>
      <c r="H184" s="11"/>
      <c r="I184" s="15"/>
    </row>
    <row r="185">
      <c r="A185" s="11">
        <f>IFERROR(__xludf.DUMMYFUNCTION("""COMPUTED_VALUE"""),7357.0)</f>
        <v>7357</v>
      </c>
      <c r="B185" s="11" t="str">
        <f>IFERROR(__xludf.DUMMYFUNCTION("""COMPUTED_VALUE"""),"C")</f>
        <v>C</v>
      </c>
      <c r="C185" s="11" t="str">
        <f>IFERROR(__xludf.DUMMYFUNCTION("""COMPUTED_VALUE"""),"Lahdo")</f>
        <v>Lahdo</v>
      </c>
      <c r="D185" s="11" t="str">
        <f>IFERROR(__xludf.DUMMYFUNCTION("""COMPUTED_VALUE"""),"Como")</f>
        <v>Como</v>
      </c>
      <c r="E185" s="15">
        <f>IFERROR(__xludf.DUMMYFUNCTION("""COMPUTED_VALUE"""),1.0)</f>
        <v>1</v>
      </c>
      <c r="F185" s="17">
        <f>IFERROR(__xludf.DUMMYFUNCTION("""COMPUTED_VALUE"""),0.001)</f>
        <v>0.001</v>
      </c>
      <c r="G185" s="15"/>
      <c r="H185" s="11"/>
      <c r="I185" s="15"/>
    </row>
    <row r="186">
      <c r="A186" s="11">
        <f>IFERROR(__xludf.DUMMYFUNCTION("""COMPUTED_VALUE"""),7456.0)</f>
        <v>7456</v>
      </c>
      <c r="B186" s="11" t="str">
        <f>IFERROR(__xludf.DUMMYFUNCTION("""COMPUTED_VALUE"""),"C")</f>
        <v>C</v>
      </c>
      <c r="C186" s="11" t="str">
        <f>IFERROR(__xludf.DUMMYFUNCTION("""COMPUTED_VALUE"""),"El Azzouzi A.")</f>
        <v>El Azzouzi A.</v>
      </c>
      <c r="D186" s="11" t="str">
        <f>IFERROR(__xludf.DUMMYFUNCTION("""COMPUTED_VALUE"""),"Frosinone")</f>
        <v>Frosinone</v>
      </c>
      <c r="E186" s="15">
        <f>IFERROR(__xludf.DUMMYFUNCTION("""COMPUTED_VALUE"""),1.0)</f>
        <v>1</v>
      </c>
      <c r="F186" s="17">
        <f>IFERROR(__xludf.DUMMYFUNCTION("""COMPUTED_VALUE"""),0.001)</f>
        <v>0.001</v>
      </c>
      <c r="G186" s="15"/>
      <c r="H186" s="11"/>
      <c r="I186" s="15"/>
    </row>
    <row r="187">
      <c r="A187" s="11">
        <f>IFERROR(__xludf.DUMMYFUNCTION("""COMPUTED_VALUE"""),6410.0)</f>
        <v>6410</v>
      </c>
      <c r="B187" s="11" t="str">
        <f>IFERROR(__xludf.DUMMYFUNCTION("""COMPUTED_VALUE"""),"C")</f>
        <v>C</v>
      </c>
      <c r="C187" s="11" t="str">
        <f>IFERROR(__xludf.DUMMYFUNCTION("""COMPUTED_VALUE"""),"Kaba")</f>
        <v>Kaba</v>
      </c>
      <c r="D187" s="11" t="str">
        <f>IFERROR(__xludf.DUMMYFUNCTION("""COMPUTED_VALUE"""),"Lecce")</f>
        <v>Lecce</v>
      </c>
      <c r="E187" s="15">
        <f>IFERROR(__xludf.DUMMYFUNCTION("""COMPUTED_VALUE"""),1.0)</f>
        <v>1</v>
      </c>
      <c r="F187" s="17">
        <f>IFERROR(__xludf.DUMMYFUNCTION("""COMPUTED_VALUE"""),0.002)</f>
        <v>0.002</v>
      </c>
      <c r="G187" s="15"/>
      <c r="H187" s="11"/>
      <c r="I187" s="15"/>
    </row>
    <row r="188">
      <c r="A188" s="11">
        <f>IFERROR(__xludf.DUMMYFUNCTION("""COMPUTED_VALUE"""),7319.0)</f>
        <v>7319</v>
      </c>
      <c r="B188" s="11" t="str">
        <f>IFERROR(__xludf.DUMMYFUNCTION("""COMPUTED_VALUE"""),"C")</f>
        <v>C</v>
      </c>
      <c r="C188" s="11" t="str">
        <f>IFERROR(__xludf.DUMMYFUNCTION("""COMPUTED_VALUE"""),"Fofana Sa.")</f>
        <v>Fofana Sa.</v>
      </c>
      <c r="D188" s="11" t="str">
        <f>IFERROR(__xludf.DUMMYFUNCTION("""COMPUTED_VALUE"""),"Lecce")</f>
        <v>Lecce</v>
      </c>
      <c r="E188" s="15">
        <f>IFERROR(__xludf.DUMMYFUNCTION("""COMPUTED_VALUE"""),1.0)</f>
        <v>1</v>
      </c>
      <c r="F188" s="17">
        <f>IFERROR(__xludf.DUMMYFUNCTION("""COMPUTED_VALUE"""),0.001)</f>
        <v>0.001</v>
      </c>
      <c r="G188" s="15"/>
      <c r="H188" s="11"/>
      <c r="I188" s="15"/>
    </row>
    <row r="189">
      <c r="A189" s="11">
        <f>IFERROR(__xludf.DUMMYFUNCTION("""COMPUTED_VALUE"""),7481.0)</f>
        <v>7481</v>
      </c>
      <c r="B189" s="11" t="str">
        <f>IFERROR(__xludf.DUMMYFUNCTION("""COMPUTED_VALUE"""),"C")</f>
        <v>C</v>
      </c>
      <c r="C189" s="11" t="str">
        <f>IFERROR(__xludf.DUMMYFUNCTION("""COMPUTED_VALUE"""),"Dagasso")</f>
        <v>Dagasso</v>
      </c>
      <c r="D189" s="11" t="str">
        <f>IFERROR(__xludf.DUMMYFUNCTION("""COMPUTED_VALUE"""),"Venezia")</f>
        <v>Venezia</v>
      </c>
      <c r="E189" s="15">
        <f>IFERROR(__xludf.DUMMYFUNCTION("""COMPUTED_VALUE"""),1.0)</f>
        <v>1</v>
      </c>
      <c r="F189" s="17">
        <f>IFERROR(__xludf.DUMMYFUNCTION("""COMPUTED_VALUE"""),0.001)</f>
        <v>0.001</v>
      </c>
      <c r="G189" s="15"/>
      <c r="H189" s="11"/>
      <c r="I189" s="15"/>
    </row>
    <row r="190">
      <c r="A190" s="11">
        <f>IFERROR(__xludf.DUMMYFUNCTION("""COMPUTED_VALUE"""),7571.0)</f>
        <v>7571</v>
      </c>
      <c r="B190" s="11" t="str">
        <f>IFERROR(__xludf.DUMMYFUNCTION("""COMPUTED_VALUE"""),"C")</f>
        <v>C</v>
      </c>
      <c r="C190" s="11" t="str">
        <f>IFERROR(__xludf.DUMMYFUNCTION("""COMPUTED_VALUE"""),"Laerke")</f>
        <v>Laerke</v>
      </c>
      <c r="D190" s="11" t="str">
        <f>IFERROR(__xludf.DUMMYFUNCTION("""COMPUTED_VALUE"""),"Lecce")</f>
        <v>Lecce</v>
      </c>
      <c r="E190" s="15">
        <f>IFERROR(__xludf.DUMMYFUNCTION("""COMPUTED_VALUE"""),1.0)</f>
        <v>1</v>
      </c>
      <c r="F190" s="17">
        <f>IFERROR(__xludf.DUMMYFUNCTION("""COMPUTED_VALUE"""),0.001)</f>
        <v>0.001</v>
      </c>
      <c r="G190" s="15"/>
      <c r="H190" s="11"/>
      <c r="I190" s="15"/>
    </row>
    <row r="191">
      <c r="A191" s="11">
        <f>IFERROR(__xludf.DUMMYFUNCTION("""COMPUTED_VALUE"""),7572.0)</f>
        <v>7572</v>
      </c>
      <c r="B191" s="11" t="str">
        <f>IFERROR(__xludf.DUMMYFUNCTION("""COMPUTED_VALUE"""),"C")</f>
        <v>C</v>
      </c>
      <c r="C191" s="11" t="str">
        <f>IFERROR(__xludf.DUMMYFUNCTION("""COMPUTED_VALUE"""),"Comotto")</f>
        <v>Comotto</v>
      </c>
      <c r="D191" s="11" t="str">
        <f>IFERROR(__xludf.DUMMYFUNCTION("""COMPUTED_VALUE"""),"Milan")</f>
        <v>Milan</v>
      </c>
      <c r="E191" s="15">
        <f>IFERROR(__xludf.DUMMYFUNCTION("""COMPUTED_VALUE"""),1.0)</f>
        <v>1</v>
      </c>
      <c r="F191" s="17">
        <f>IFERROR(__xludf.DUMMYFUNCTION("""COMPUTED_VALUE"""),0.001)</f>
        <v>0.001</v>
      </c>
      <c r="G191" s="15"/>
      <c r="H191" s="11"/>
      <c r="I191" s="15"/>
    </row>
    <row r="192">
      <c r="A192" s="11">
        <f>IFERROR(__xludf.DUMMYFUNCTION("""COMPUTED_VALUE"""),5462.0)</f>
        <v>5462</v>
      </c>
      <c r="B192" s="11" t="str">
        <f>IFERROR(__xludf.DUMMYFUNCTION("""COMPUTED_VALUE"""),"C")</f>
        <v>C</v>
      </c>
      <c r="C192" s="11" t="str">
        <f>IFERROR(__xludf.DUMMYFUNCTION("""COMPUTED_VALUE"""),"Ciervo")</f>
        <v>Ciervo</v>
      </c>
      <c r="D192" s="11" t="str">
        <f>IFERROR(__xludf.DUMMYFUNCTION("""COMPUTED_VALUE"""),"Cagliari")</f>
        <v>Cagliari</v>
      </c>
      <c r="E192" s="15">
        <f>IFERROR(__xludf.DUMMYFUNCTION("""COMPUTED_VALUE"""),1.0)</f>
        <v>1</v>
      </c>
      <c r="F192" s="17">
        <f>IFERROR(__xludf.DUMMYFUNCTION("""COMPUTED_VALUE"""),0.001)</f>
        <v>0.001</v>
      </c>
      <c r="G192" s="15"/>
      <c r="H192" s="11"/>
      <c r="I192" s="15"/>
    </row>
    <row r="193">
      <c r="A193" s="11">
        <f>IFERROR(__xludf.DUMMYFUNCTION("""COMPUTED_VALUE"""),7628.0)</f>
        <v>7628</v>
      </c>
      <c r="B193" s="11" t="str">
        <f>IFERROR(__xludf.DUMMYFUNCTION("""COMPUTED_VALUE"""),"C")</f>
        <v>C</v>
      </c>
      <c r="C193" s="11" t="str">
        <f>IFERROR(__xludf.DUMMYFUNCTION("""COMPUTED_VALUE"""),"Sierro")</f>
        <v>Sierro</v>
      </c>
      <c r="D193" s="11" t="str">
        <f>IFERROR(__xludf.DUMMYFUNCTION("""COMPUTED_VALUE"""),"Parma")</f>
        <v>Parma</v>
      </c>
      <c r="E193" s="15">
        <f>IFERROR(__xludf.DUMMYFUNCTION("""COMPUTED_VALUE"""),1.0)</f>
        <v>1</v>
      </c>
      <c r="F193" s="17">
        <f>IFERROR(__xludf.DUMMYFUNCTION("""COMPUTED_VALUE"""),0.001)</f>
        <v>0.001</v>
      </c>
      <c r="G193" s="15"/>
      <c r="H193" s="11"/>
      <c r="I193" s="15"/>
    </row>
    <row r="194">
      <c r="E194" s="15"/>
      <c r="F194" s="17"/>
      <c r="G194" s="15"/>
      <c r="I194" s="15"/>
    </row>
    <row r="195">
      <c r="E195" s="15"/>
      <c r="F195" s="17"/>
      <c r="G195" s="15"/>
      <c r="I195" s="15"/>
    </row>
    <row r="196">
      <c r="E196" s="15"/>
      <c r="F196" s="17"/>
      <c r="G196" s="15"/>
      <c r="I196" s="15"/>
    </row>
    <row r="197">
      <c r="E197" s="15"/>
      <c r="F197" s="17"/>
      <c r="G197" s="15"/>
      <c r="I197" s="15"/>
    </row>
    <row r="198">
      <c r="E198" s="15"/>
      <c r="F198" s="17"/>
      <c r="G198" s="15"/>
      <c r="I198" s="15"/>
    </row>
    <row r="199">
      <c r="E199" s="15"/>
      <c r="F199" s="17"/>
      <c r="G199" s="15"/>
      <c r="I199" s="15"/>
    </row>
    <row r="200">
      <c r="E200" s="15"/>
      <c r="F200" s="17"/>
      <c r="G200" s="15"/>
      <c r="I200" s="15"/>
    </row>
    <row r="201">
      <c r="E201" s="15"/>
      <c r="F201" s="17"/>
      <c r="G201" s="15"/>
      <c r="I201" s="15"/>
    </row>
    <row r="202">
      <c r="E202" s="15"/>
      <c r="F202" s="17"/>
      <c r="G202" s="15"/>
      <c r="I202" s="15"/>
    </row>
    <row r="203">
      <c r="E203" s="15"/>
      <c r="F203" s="17"/>
      <c r="G203" s="15"/>
      <c r="I203" s="15"/>
    </row>
    <row r="204">
      <c r="E204" s="15"/>
      <c r="F204" s="17"/>
      <c r="G204" s="15"/>
      <c r="I204" s="15"/>
    </row>
    <row r="205">
      <c r="E205" s="15"/>
      <c r="F205" s="17"/>
      <c r="G205" s="15"/>
      <c r="I205" s="15"/>
    </row>
    <row r="206">
      <c r="E206" s="15"/>
      <c r="F206" s="17"/>
      <c r="G206" s="15"/>
      <c r="I206" s="15"/>
    </row>
    <row r="207">
      <c r="E207" s="15"/>
      <c r="F207" s="17"/>
      <c r="G207" s="15"/>
      <c r="I207" s="15"/>
    </row>
    <row r="208">
      <c r="E208" s="15"/>
      <c r="F208" s="17"/>
      <c r="G208" s="15"/>
      <c r="I208" s="15"/>
    </row>
    <row r="209">
      <c r="E209" s="15"/>
      <c r="F209" s="17"/>
      <c r="G209" s="15"/>
      <c r="I209" s="15"/>
    </row>
    <row r="210">
      <c r="E210" s="15"/>
      <c r="F210" s="17"/>
      <c r="G210" s="15"/>
      <c r="I210" s="15"/>
    </row>
    <row r="211">
      <c r="E211" s="15"/>
      <c r="F211" s="17"/>
      <c r="G211" s="15"/>
      <c r="I211" s="15"/>
    </row>
    <row r="212">
      <c r="E212" s="15"/>
      <c r="F212" s="17"/>
      <c r="G212" s="15"/>
      <c r="I212" s="15"/>
    </row>
    <row r="213">
      <c r="E213" s="15"/>
      <c r="F213" s="17"/>
      <c r="G213" s="15"/>
      <c r="I213" s="15"/>
    </row>
    <row r="214">
      <c r="E214" s="15"/>
      <c r="F214" s="17"/>
      <c r="G214" s="15"/>
      <c r="I214" s="15"/>
    </row>
    <row r="215">
      <c r="E215" s="15"/>
      <c r="F215" s="17"/>
      <c r="G215" s="15"/>
      <c r="I215" s="15"/>
    </row>
    <row r="216">
      <c r="E216" s="15"/>
      <c r="F216" s="17"/>
      <c r="G216" s="15"/>
      <c r="I216" s="15"/>
    </row>
    <row r="217">
      <c r="E217" s="15"/>
      <c r="F217" s="17"/>
      <c r="G217" s="15"/>
      <c r="I217" s="15"/>
    </row>
    <row r="218">
      <c r="E218" s="15"/>
      <c r="F218" s="17"/>
      <c r="G218" s="15"/>
      <c r="I218" s="15"/>
    </row>
    <row r="219">
      <c r="E219" s="15"/>
      <c r="F219" s="17"/>
      <c r="G219" s="15"/>
      <c r="I219" s="15"/>
    </row>
    <row r="220">
      <c r="E220" s="15"/>
      <c r="F220" s="17"/>
      <c r="G220" s="15"/>
      <c r="I220" s="15"/>
    </row>
    <row r="221">
      <c r="E221" s="15"/>
      <c r="F221" s="17"/>
      <c r="G221" s="15"/>
      <c r="I221" s="15"/>
    </row>
    <row r="222">
      <c r="E222" s="15"/>
      <c r="F222" s="17"/>
      <c r="G222" s="15"/>
      <c r="I222" s="15"/>
    </row>
    <row r="223">
      <c r="E223" s="15"/>
      <c r="F223" s="17"/>
      <c r="G223" s="15"/>
      <c r="I223" s="15"/>
    </row>
    <row r="224">
      <c r="E224" s="15"/>
      <c r="F224" s="17"/>
      <c r="G224" s="15"/>
      <c r="I224" s="15"/>
    </row>
    <row r="225">
      <c r="E225" s="15"/>
      <c r="F225" s="17"/>
      <c r="G225" s="15"/>
      <c r="I225" s="15"/>
    </row>
    <row r="226">
      <c r="E226" s="15"/>
      <c r="F226" s="17"/>
      <c r="G226" s="15"/>
      <c r="I226" s="15"/>
    </row>
    <row r="227">
      <c r="E227" s="15"/>
      <c r="F227" s="17"/>
      <c r="G227" s="15"/>
      <c r="I227" s="15"/>
    </row>
    <row r="228">
      <c r="E228" s="15"/>
      <c r="F228" s="17"/>
      <c r="G228" s="15"/>
      <c r="I228" s="15"/>
    </row>
    <row r="229">
      <c r="E229" s="15"/>
      <c r="F229" s="17"/>
      <c r="G229" s="15"/>
      <c r="I229" s="15"/>
    </row>
    <row r="230">
      <c r="E230" s="15"/>
      <c r="F230" s="17"/>
      <c r="G230" s="15"/>
      <c r="I230" s="15"/>
    </row>
    <row r="231">
      <c r="E231" s="15"/>
      <c r="F231" s="17"/>
      <c r="G231" s="15"/>
      <c r="I231" s="15"/>
    </row>
    <row r="232">
      <c r="E232" s="15"/>
      <c r="F232" s="17"/>
      <c r="G232" s="15"/>
      <c r="I232" s="15"/>
    </row>
    <row r="233">
      <c r="E233" s="15"/>
      <c r="F233" s="17"/>
      <c r="G233" s="15"/>
      <c r="I233" s="15"/>
    </row>
    <row r="234">
      <c r="E234" s="15"/>
      <c r="F234" s="17"/>
      <c r="G234" s="15"/>
      <c r="I234" s="15"/>
    </row>
    <row r="235">
      <c r="E235" s="15"/>
      <c r="F235" s="17"/>
      <c r="G235" s="15"/>
      <c r="I235" s="15"/>
    </row>
    <row r="236">
      <c r="E236" s="15"/>
      <c r="F236" s="17"/>
      <c r="G236" s="15"/>
      <c r="I236" s="15"/>
    </row>
    <row r="237">
      <c r="E237" s="15"/>
      <c r="F237" s="17"/>
      <c r="G237" s="15"/>
      <c r="I237" s="15"/>
    </row>
    <row r="238">
      <c r="E238" s="15"/>
      <c r="F238" s="17"/>
      <c r="G238" s="15"/>
      <c r="I238" s="15"/>
    </row>
    <row r="239">
      <c r="E239" s="15"/>
      <c r="F239" s="17"/>
      <c r="G239" s="15"/>
      <c r="I239" s="15"/>
    </row>
    <row r="240">
      <c r="E240" s="15"/>
      <c r="F240" s="17"/>
      <c r="G240" s="15"/>
      <c r="I240" s="15"/>
    </row>
    <row r="241">
      <c r="E241" s="15"/>
      <c r="F241" s="17"/>
      <c r="G241" s="15"/>
      <c r="I241" s="15"/>
    </row>
    <row r="242">
      <c r="E242" s="15"/>
      <c r="F242" s="17"/>
      <c r="G242" s="15"/>
      <c r="I242" s="15"/>
    </row>
    <row r="243">
      <c r="E243" s="15"/>
      <c r="F243" s="17"/>
      <c r="G243" s="15"/>
      <c r="I243" s="15"/>
    </row>
    <row r="244">
      <c r="E244" s="15"/>
      <c r="F244" s="17"/>
      <c r="G244" s="15"/>
      <c r="I244" s="15"/>
    </row>
    <row r="245">
      <c r="E245" s="15"/>
      <c r="F245" s="17"/>
      <c r="G245" s="15"/>
      <c r="I245" s="15"/>
    </row>
    <row r="246">
      <c r="E246" s="15"/>
      <c r="F246" s="17"/>
      <c r="G246" s="15"/>
      <c r="I246" s="15"/>
    </row>
    <row r="247">
      <c r="E247" s="15"/>
      <c r="F247" s="17"/>
      <c r="G247" s="15"/>
      <c r="I247" s="15"/>
    </row>
    <row r="248">
      <c r="E248" s="15"/>
      <c r="F248" s="17"/>
      <c r="G248" s="15"/>
      <c r="I248" s="15"/>
    </row>
    <row r="249">
      <c r="E249" s="15"/>
      <c r="F249" s="17"/>
      <c r="G249" s="15"/>
      <c r="I249" s="15"/>
    </row>
    <row r="250">
      <c r="E250" s="15"/>
      <c r="F250" s="17"/>
      <c r="G250" s="15"/>
      <c r="I250" s="15"/>
    </row>
    <row r="251">
      <c r="E251" s="15"/>
      <c r="F251" s="17"/>
      <c r="G251" s="15"/>
      <c r="I251" s="15"/>
    </row>
    <row r="252">
      <c r="E252" s="15"/>
      <c r="F252" s="17"/>
      <c r="G252" s="15"/>
      <c r="I252" s="15"/>
    </row>
    <row r="253">
      <c r="E253" s="15"/>
      <c r="F253" s="17"/>
      <c r="G253" s="15"/>
      <c r="I253" s="15"/>
    </row>
    <row r="254">
      <c r="E254" s="15"/>
      <c r="F254" s="17"/>
      <c r="G254" s="15"/>
      <c r="I254" s="15"/>
    </row>
    <row r="255">
      <c r="E255" s="15"/>
      <c r="F255" s="17"/>
      <c r="G255" s="15"/>
      <c r="I255" s="15"/>
    </row>
    <row r="256">
      <c r="E256" s="15"/>
      <c r="F256" s="17"/>
      <c r="G256" s="15"/>
      <c r="I256" s="15"/>
    </row>
    <row r="257">
      <c r="E257" s="15"/>
      <c r="F257" s="17"/>
      <c r="G257" s="15"/>
      <c r="I257" s="15"/>
    </row>
    <row r="258">
      <c r="E258" s="15"/>
      <c r="F258" s="17"/>
      <c r="G258" s="15"/>
      <c r="I258" s="15"/>
    </row>
    <row r="259">
      <c r="E259" s="15"/>
      <c r="F259" s="17"/>
      <c r="G259" s="15"/>
      <c r="I259" s="15"/>
    </row>
    <row r="260">
      <c r="E260" s="15"/>
      <c r="F260" s="17"/>
      <c r="G260" s="15"/>
      <c r="I260" s="15"/>
    </row>
    <row r="261">
      <c r="E261" s="15"/>
      <c r="F261" s="17"/>
      <c r="G261" s="15"/>
      <c r="I261" s="15"/>
    </row>
    <row r="262">
      <c r="E262" s="15"/>
      <c r="F262" s="17"/>
      <c r="G262" s="15"/>
      <c r="I262" s="15"/>
    </row>
    <row r="263">
      <c r="E263" s="15"/>
      <c r="F263" s="17"/>
      <c r="G263" s="15"/>
      <c r="I263" s="15"/>
    </row>
    <row r="264">
      <c r="E264" s="15"/>
      <c r="F264" s="17"/>
      <c r="G264" s="15"/>
      <c r="I264" s="15"/>
    </row>
    <row r="265">
      <c r="E265" s="15"/>
      <c r="F265" s="17"/>
      <c r="G265" s="15"/>
      <c r="I265" s="15"/>
    </row>
    <row r="266">
      <c r="E266" s="15"/>
      <c r="F266" s="17"/>
      <c r="G266" s="15"/>
      <c r="I266" s="15"/>
    </row>
    <row r="267">
      <c r="E267" s="15"/>
      <c r="F267" s="17"/>
      <c r="G267" s="15"/>
      <c r="I267" s="15"/>
    </row>
    <row r="268">
      <c r="E268" s="15"/>
      <c r="F268" s="17"/>
      <c r="G268" s="15"/>
      <c r="I268" s="15"/>
    </row>
    <row r="269">
      <c r="E269" s="15"/>
      <c r="F269" s="17"/>
      <c r="G269" s="15"/>
      <c r="I269" s="15"/>
    </row>
    <row r="270">
      <c r="E270" s="15"/>
      <c r="F270" s="17"/>
      <c r="G270" s="15"/>
      <c r="I270" s="15"/>
    </row>
    <row r="271">
      <c r="E271" s="15"/>
      <c r="F271" s="17"/>
      <c r="G271" s="15"/>
      <c r="I271" s="15"/>
    </row>
    <row r="272">
      <c r="E272" s="15"/>
      <c r="F272" s="17"/>
      <c r="G272" s="15"/>
      <c r="I272" s="15"/>
    </row>
    <row r="273">
      <c r="E273" s="15"/>
      <c r="F273" s="17"/>
      <c r="G273" s="15"/>
      <c r="I273" s="15"/>
    </row>
    <row r="274">
      <c r="E274" s="15"/>
      <c r="F274" s="17"/>
      <c r="G274" s="15"/>
      <c r="I274" s="15"/>
    </row>
    <row r="275">
      <c r="E275" s="15"/>
      <c r="F275" s="17"/>
      <c r="G275" s="15"/>
      <c r="I275" s="15"/>
    </row>
    <row r="276">
      <c r="E276" s="15"/>
      <c r="F276" s="17"/>
      <c r="G276" s="15"/>
      <c r="I276" s="15"/>
    </row>
    <row r="277">
      <c r="E277" s="15"/>
      <c r="F277" s="17"/>
      <c r="G277" s="15"/>
      <c r="I277" s="15"/>
    </row>
    <row r="278">
      <c r="E278" s="15"/>
      <c r="F278" s="17"/>
      <c r="G278" s="15"/>
      <c r="I278" s="15"/>
    </row>
    <row r="279">
      <c r="E279" s="15"/>
      <c r="F279" s="17"/>
      <c r="G279" s="15"/>
      <c r="I279" s="15"/>
    </row>
    <row r="280">
      <c r="E280" s="15"/>
      <c r="F280" s="17"/>
      <c r="G280" s="15"/>
      <c r="I280" s="15"/>
    </row>
    <row r="281">
      <c r="E281" s="15"/>
      <c r="F281" s="17"/>
      <c r="G281" s="15"/>
      <c r="I281" s="15"/>
    </row>
    <row r="282">
      <c r="E282" s="15"/>
      <c r="F282" s="17"/>
      <c r="G282" s="15"/>
      <c r="I282" s="15"/>
    </row>
    <row r="283">
      <c r="E283" s="15"/>
      <c r="F283" s="17"/>
      <c r="G283" s="15"/>
      <c r="I283" s="15"/>
    </row>
    <row r="284">
      <c r="E284" s="15"/>
      <c r="F284" s="17"/>
      <c r="G284" s="15"/>
      <c r="I284" s="15"/>
    </row>
    <row r="285">
      <c r="E285" s="15"/>
      <c r="F285" s="17"/>
      <c r="G285" s="15"/>
      <c r="I285" s="15"/>
    </row>
    <row r="286">
      <c r="E286" s="15"/>
      <c r="F286" s="17"/>
      <c r="G286" s="15"/>
      <c r="I286" s="15"/>
    </row>
    <row r="287">
      <c r="E287" s="15"/>
      <c r="F287" s="17"/>
      <c r="G287" s="15"/>
      <c r="I287" s="15"/>
    </row>
    <row r="288">
      <c r="E288" s="15"/>
      <c r="F288" s="17"/>
      <c r="G288" s="15"/>
      <c r="I288" s="15"/>
    </row>
    <row r="289">
      <c r="E289" s="15"/>
      <c r="F289" s="17"/>
      <c r="G289" s="15"/>
      <c r="I289" s="15"/>
    </row>
    <row r="290">
      <c r="E290" s="15"/>
      <c r="F290" s="17"/>
      <c r="G290" s="15"/>
      <c r="I290" s="15"/>
    </row>
    <row r="291">
      <c r="E291" s="15"/>
      <c r="F291" s="17"/>
      <c r="G291" s="15"/>
      <c r="I291" s="15"/>
    </row>
    <row r="292">
      <c r="E292" s="15"/>
      <c r="F292" s="17"/>
      <c r="G292" s="15"/>
      <c r="I292" s="15"/>
    </row>
    <row r="293">
      <c r="E293" s="15"/>
      <c r="F293" s="17"/>
      <c r="G293" s="15"/>
      <c r="I293" s="15"/>
    </row>
    <row r="294">
      <c r="E294" s="15"/>
      <c r="F294" s="17"/>
      <c r="G294" s="15"/>
      <c r="I294" s="15"/>
    </row>
    <row r="295">
      <c r="E295" s="15"/>
      <c r="F295" s="17"/>
      <c r="G295" s="15"/>
      <c r="I295" s="15"/>
    </row>
    <row r="296">
      <c r="E296" s="15"/>
      <c r="F296" s="17"/>
      <c r="G296" s="15"/>
      <c r="I296" s="15"/>
    </row>
    <row r="297">
      <c r="E297" s="15"/>
      <c r="F297" s="17"/>
      <c r="G297" s="15"/>
      <c r="I297" s="15"/>
    </row>
    <row r="298">
      <c r="E298" s="15"/>
      <c r="F298" s="17"/>
      <c r="G298" s="15"/>
      <c r="I298" s="15"/>
    </row>
    <row r="299">
      <c r="E299" s="15"/>
      <c r="F299" s="17"/>
      <c r="G299" s="15"/>
      <c r="I299" s="15"/>
    </row>
    <row r="300">
      <c r="E300" s="15"/>
      <c r="F300" s="17"/>
      <c r="G300" s="15"/>
      <c r="I300" s="15"/>
    </row>
    <row r="301">
      <c r="E301" s="15"/>
      <c r="F301" s="17"/>
      <c r="G301" s="15"/>
      <c r="I301" s="15"/>
    </row>
    <row r="302">
      <c r="E302" s="15"/>
      <c r="F302" s="17"/>
      <c r="G302" s="15"/>
      <c r="I302" s="15"/>
    </row>
    <row r="303">
      <c r="E303" s="15"/>
      <c r="F303" s="17"/>
      <c r="G303" s="15"/>
      <c r="I303" s="15"/>
    </row>
    <row r="304">
      <c r="E304" s="15"/>
      <c r="F304" s="17"/>
      <c r="G304" s="15"/>
      <c r="I304" s="15"/>
    </row>
    <row r="305">
      <c r="E305" s="15"/>
      <c r="F305" s="17"/>
      <c r="G305" s="15"/>
      <c r="I305" s="15"/>
    </row>
    <row r="306">
      <c r="E306" s="15"/>
      <c r="F306" s="17"/>
      <c r="G306" s="15"/>
      <c r="I306" s="15"/>
    </row>
    <row r="307">
      <c r="E307" s="15"/>
      <c r="F307" s="17"/>
      <c r="G307" s="15"/>
      <c r="I307" s="15"/>
    </row>
    <row r="308">
      <c r="E308" s="15"/>
      <c r="F308" s="17"/>
      <c r="G308" s="15"/>
      <c r="I308" s="15"/>
    </row>
    <row r="309">
      <c r="E309" s="15"/>
      <c r="F309" s="17"/>
      <c r="G309" s="15"/>
      <c r="I309" s="15"/>
    </row>
    <row r="310">
      <c r="E310" s="15"/>
      <c r="F310" s="17"/>
      <c r="G310" s="15"/>
      <c r="I310" s="15"/>
    </row>
    <row r="311">
      <c r="E311" s="15"/>
      <c r="F311" s="17"/>
      <c r="G311" s="15"/>
      <c r="I311" s="15"/>
    </row>
    <row r="312">
      <c r="E312" s="15"/>
      <c r="F312" s="17"/>
      <c r="G312" s="15"/>
      <c r="I312" s="15"/>
    </row>
    <row r="313">
      <c r="E313" s="15"/>
      <c r="F313" s="17"/>
      <c r="G313" s="15"/>
      <c r="I313" s="15"/>
    </row>
    <row r="314">
      <c r="E314" s="15"/>
      <c r="F314" s="17"/>
      <c r="G314" s="15"/>
      <c r="I314" s="15"/>
    </row>
    <row r="315">
      <c r="E315" s="15"/>
      <c r="F315" s="17"/>
      <c r="G315" s="15"/>
      <c r="I315" s="15"/>
    </row>
    <row r="316">
      <c r="E316" s="15"/>
      <c r="F316" s="17"/>
      <c r="G316" s="15"/>
      <c r="I316" s="15"/>
    </row>
    <row r="317">
      <c r="E317" s="15"/>
      <c r="F317" s="17"/>
      <c r="G317" s="15"/>
      <c r="I317" s="15"/>
    </row>
    <row r="318">
      <c r="E318" s="15"/>
      <c r="F318" s="17"/>
      <c r="G318" s="15"/>
      <c r="I318" s="15"/>
    </row>
    <row r="319">
      <c r="E319" s="15"/>
      <c r="F319" s="17"/>
      <c r="G319" s="15"/>
      <c r="I319" s="15"/>
    </row>
    <row r="320">
      <c r="E320" s="15"/>
      <c r="F320" s="17"/>
      <c r="G320" s="15"/>
      <c r="I320" s="15"/>
    </row>
    <row r="321">
      <c r="E321" s="15"/>
      <c r="F321" s="17"/>
      <c r="G321" s="15"/>
      <c r="I321" s="15"/>
    </row>
    <row r="322">
      <c r="E322" s="15"/>
      <c r="F322" s="17"/>
      <c r="G322" s="15"/>
      <c r="I322" s="15"/>
    </row>
    <row r="323">
      <c r="E323" s="15"/>
      <c r="F323" s="17"/>
      <c r="G323" s="15"/>
      <c r="I323" s="15"/>
    </row>
    <row r="324">
      <c r="E324" s="15"/>
      <c r="F324" s="17"/>
      <c r="G324" s="15"/>
      <c r="I324" s="15"/>
    </row>
    <row r="325">
      <c r="E325" s="15"/>
      <c r="F325" s="17"/>
      <c r="G325" s="15"/>
      <c r="I325" s="15"/>
    </row>
    <row r="326">
      <c r="E326" s="15"/>
      <c r="F326" s="17"/>
      <c r="G326" s="15"/>
      <c r="I326" s="15"/>
    </row>
    <row r="327">
      <c r="E327" s="15"/>
      <c r="F327" s="17"/>
      <c r="G327" s="15"/>
      <c r="I327" s="15"/>
    </row>
    <row r="328">
      <c r="E328" s="15"/>
      <c r="F328" s="17"/>
      <c r="G328" s="15"/>
      <c r="I328" s="15"/>
    </row>
    <row r="329">
      <c r="E329" s="15"/>
      <c r="F329" s="17"/>
      <c r="G329" s="15"/>
      <c r="I329" s="15"/>
    </row>
    <row r="330">
      <c r="E330" s="15"/>
      <c r="F330" s="17"/>
      <c r="G330" s="15"/>
      <c r="I330" s="15"/>
    </row>
    <row r="331">
      <c r="E331" s="15"/>
      <c r="F331" s="17"/>
      <c r="G331" s="15"/>
      <c r="I331" s="15"/>
    </row>
    <row r="332">
      <c r="E332" s="15"/>
      <c r="F332" s="17"/>
      <c r="G332" s="15"/>
      <c r="I332" s="15"/>
    </row>
    <row r="333">
      <c r="E333" s="15"/>
      <c r="F333" s="17"/>
      <c r="G333" s="15"/>
      <c r="I333" s="15"/>
    </row>
    <row r="334">
      <c r="E334" s="15"/>
      <c r="F334" s="17"/>
      <c r="G334" s="15"/>
      <c r="I334" s="15"/>
    </row>
    <row r="335">
      <c r="E335" s="15"/>
      <c r="F335" s="17"/>
      <c r="G335" s="15"/>
      <c r="I335" s="15"/>
    </row>
    <row r="336">
      <c r="E336" s="15"/>
      <c r="F336" s="17"/>
      <c r="G336" s="15"/>
      <c r="I336" s="15"/>
    </row>
    <row r="337">
      <c r="E337" s="15"/>
      <c r="F337" s="17"/>
      <c r="G337" s="15"/>
      <c r="I337" s="15"/>
    </row>
    <row r="338">
      <c r="E338" s="15"/>
      <c r="F338" s="17"/>
      <c r="G338" s="15"/>
      <c r="I338" s="15"/>
    </row>
    <row r="339">
      <c r="E339" s="15"/>
      <c r="F339" s="17"/>
      <c r="G339" s="15"/>
      <c r="I339" s="15"/>
    </row>
    <row r="340">
      <c r="E340" s="15"/>
      <c r="F340" s="17"/>
      <c r="G340" s="15"/>
      <c r="I340" s="15"/>
    </row>
    <row r="341">
      <c r="E341" s="15"/>
      <c r="F341" s="17"/>
      <c r="G341" s="15"/>
      <c r="I341" s="15"/>
    </row>
    <row r="342">
      <c r="E342" s="15"/>
      <c r="F342" s="17"/>
      <c r="G342" s="15"/>
      <c r="I342" s="15"/>
    </row>
    <row r="343">
      <c r="E343" s="15"/>
      <c r="F343" s="17"/>
      <c r="G343" s="15"/>
      <c r="I343" s="15"/>
    </row>
    <row r="344">
      <c r="E344" s="15"/>
      <c r="F344" s="17"/>
      <c r="G344" s="15"/>
      <c r="I344" s="15"/>
    </row>
    <row r="345">
      <c r="E345" s="15"/>
      <c r="F345" s="17"/>
      <c r="G345" s="15"/>
      <c r="I345" s="15"/>
    </row>
    <row r="346">
      <c r="E346" s="15"/>
      <c r="F346" s="17"/>
      <c r="G346" s="15"/>
      <c r="I346" s="15"/>
    </row>
    <row r="347">
      <c r="E347" s="15"/>
      <c r="F347" s="17"/>
      <c r="G347" s="15"/>
      <c r="I347" s="15"/>
    </row>
    <row r="348">
      <c r="E348" s="15"/>
      <c r="F348" s="17"/>
      <c r="G348" s="15"/>
      <c r="I348" s="15"/>
    </row>
    <row r="349">
      <c r="E349" s="15"/>
      <c r="F349" s="17"/>
      <c r="G349" s="15"/>
      <c r="I349" s="15"/>
    </row>
    <row r="350">
      <c r="E350" s="15"/>
      <c r="F350" s="17"/>
      <c r="G350" s="15"/>
      <c r="I350" s="15"/>
    </row>
    <row r="351">
      <c r="E351" s="15"/>
      <c r="F351" s="17"/>
      <c r="G351" s="15"/>
      <c r="I351" s="15"/>
    </row>
    <row r="352">
      <c r="E352" s="15"/>
      <c r="F352" s="17"/>
      <c r="G352" s="15"/>
      <c r="I352" s="15"/>
    </row>
    <row r="353">
      <c r="E353" s="15"/>
      <c r="F353" s="17"/>
      <c r="G353" s="15"/>
      <c r="I353" s="15"/>
    </row>
    <row r="354">
      <c r="E354" s="15"/>
      <c r="F354" s="17"/>
      <c r="G354" s="15"/>
      <c r="I354" s="15"/>
    </row>
    <row r="355">
      <c r="E355" s="15"/>
      <c r="F355" s="17"/>
      <c r="G355" s="15"/>
      <c r="I355" s="15"/>
    </row>
    <row r="356">
      <c r="E356" s="15"/>
      <c r="F356" s="17"/>
      <c r="G356" s="15"/>
      <c r="I356" s="15"/>
    </row>
    <row r="357">
      <c r="E357" s="15"/>
      <c r="F357" s="17"/>
      <c r="G357" s="15"/>
      <c r="I357" s="15"/>
    </row>
    <row r="358">
      <c r="E358" s="15"/>
      <c r="F358" s="17"/>
      <c r="G358" s="15"/>
      <c r="I358" s="15"/>
    </row>
    <row r="359">
      <c r="E359" s="15"/>
      <c r="F359" s="17"/>
      <c r="G359" s="15"/>
      <c r="I359" s="15"/>
    </row>
    <row r="360">
      <c r="E360" s="15"/>
      <c r="F360" s="17"/>
      <c r="G360" s="15"/>
      <c r="I360" s="15"/>
    </row>
    <row r="361">
      <c r="E361" s="15"/>
      <c r="F361" s="17"/>
      <c r="G361" s="15"/>
      <c r="I361" s="15"/>
    </row>
    <row r="362">
      <c r="E362" s="15"/>
      <c r="F362" s="17"/>
      <c r="G362" s="15"/>
      <c r="I362" s="15"/>
    </row>
    <row r="363">
      <c r="E363" s="15"/>
      <c r="F363" s="17"/>
      <c r="G363" s="15"/>
      <c r="I363" s="15"/>
    </row>
    <row r="364">
      <c r="E364" s="15"/>
      <c r="F364" s="17"/>
      <c r="G364" s="15"/>
      <c r="I364" s="15"/>
    </row>
    <row r="365">
      <c r="E365" s="15"/>
      <c r="F365" s="17"/>
      <c r="G365" s="15"/>
      <c r="I365" s="15"/>
    </row>
    <row r="366">
      <c r="E366" s="15"/>
      <c r="F366" s="17"/>
      <c r="G366" s="15"/>
      <c r="I366" s="15"/>
    </row>
    <row r="367">
      <c r="E367" s="15"/>
      <c r="F367" s="17"/>
      <c r="G367" s="15"/>
      <c r="I367" s="15"/>
    </row>
    <row r="368">
      <c r="E368" s="15"/>
      <c r="F368" s="17"/>
      <c r="G368" s="15"/>
      <c r="I368" s="15"/>
    </row>
    <row r="369">
      <c r="E369" s="15"/>
      <c r="F369" s="17"/>
      <c r="G369" s="15"/>
      <c r="I369" s="15"/>
    </row>
    <row r="370">
      <c r="E370" s="15"/>
      <c r="F370" s="17"/>
      <c r="G370" s="15"/>
      <c r="I370" s="15"/>
    </row>
    <row r="371">
      <c r="E371" s="15"/>
      <c r="F371" s="17"/>
      <c r="G371" s="15"/>
      <c r="I371" s="15"/>
    </row>
    <row r="372">
      <c r="E372" s="15"/>
      <c r="F372" s="17"/>
      <c r="G372" s="15"/>
      <c r="I372" s="15"/>
    </row>
    <row r="373">
      <c r="E373" s="15"/>
      <c r="F373" s="17"/>
      <c r="G373" s="15"/>
      <c r="I373" s="15"/>
    </row>
    <row r="374">
      <c r="E374" s="15"/>
      <c r="F374" s="17"/>
      <c r="G374" s="15"/>
      <c r="I374" s="15"/>
    </row>
    <row r="375">
      <c r="E375" s="15"/>
      <c r="F375" s="17"/>
      <c r="G375" s="15"/>
      <c r="I375" s="15"/>
    </row>
    <row r="376">
      <c r="E376" s="15"/>
      <c r="F376" s="17"/>
      <c r="G376" s="15"/>
      <c r="I376" s="15"/>
    </row>
    <row r="377">
      <c r="E377" s="15"/>
      <c r="F377" s="17"/>
      <c r="G377" s="15"/>
      <c r="I377" s="15"/>
    </row>
    <row r="378">
      <c r="E378" s="15"/>
      <c r="F378" s="17"/>
      <c r="G378" s="15"/>
      <c r="I378" s="15"/>
    </row>
    <row r="379">
      <c r="E379" s="15"/>
      <c r="F379" s="17"/>
      <c r="G379" s="15"/>
      <c r="I379" s="15"/>
    </row>
    <row r="380">
      <c r="E380" s="15"/>
      <c r="F380" s="17"/>
      <c r="G380" s="15"/>
      <c r="I380" s="15"/>
    </row>
    <row r="381">
      <c r="E381" s="15"/>
      <c r="F381" s="17"/>
      <c r="G381" s="15"/>
      <c r="I381" s="15"/>
    </row>
    <row r="382">
      <c r="E382" s="15"/>
      <c r="F382" s="17"/>
      <c r="G382" s="15"/>
      <c r="I382" s="15"/>
    </row>
    <row r="383">
      <c r="E383" s="15"/>
      <c r="F383" s="17"/>
      <c r="G383" s="15"/>
      <c r="I383" s="15"/>
    </row>
    <row r="384">
      <c r="E384" s="15"/>
      <c r="F384" s="17"/>
      <c r="G384" s="15"/>
      <c r="I384" s="15"/>
    </row>
    <row r="385">
      <c r="E385" s="15"/>
      <c r="F385" s="17"/>
      <c r="G385" s="15"/>
      <c r="I385" s="15"/>
    </row>
    <row r="386">
      <c r="E386" s="15"/>
      <c r="F386" s="17"/>
      <c r="G386" s="15"/>
      <c r="I386" s="15"/>
    </row>
    <row r="387">
      <c r="E387" s="15"/>
      <c r="F387" s="17"/>
      <c r="G387" s="15"/>
      <c r="I387" s="15"/>
    </row>
    <row r="388">
      <c r="E388" s="15"/>
      <c r="F388" s="17"/>
      <c r="G388" s="15"/>
      <c r="I388" s="15"/>
    </row>
    <row r="389">
      <c r="E389" s="15"/>
      <c r="F389" s="17"/>
      <c r="G389" s="15"/>
      <c r="I389" s="15"/>
    </row>
    <row r="390">
      <c r="E390" s="15"/>
      <c r="F390" s="17"/>
      <c r="G390" s="15"/>
      <c r="I390" s="15"/>
    </row>
    <row r="391">
      <c r="E391" s="15"/>
      <c r="F391" s="17"/>
      <c r="G391" s="15"/>
      <c r="I391" s="15"/>
    </row>
    <row r="392">
      <c r="E392" s="15"/>
      <c r="F392" s="17"/>
      <c r="G392" s="15"/>
      <c r="I392" s="15"/>
    </row>
    <row r="393">
      <c r="E393" s="15"/>
      <c r="F393" s="17"/>
      <c r="G393" s="15"/>
      <c r="I393" s="15"/>
    </row>
    <row r="394">
      <c r="E394" s="15"/>
      <c r="F394" s="17"/>
      <c r="G394" s="15"/>
      <c r="I394" s="15"/>
    </row>
    <row r="395">
      <c r="E395" s="15"/>
      <c r="F395" s="17"/>
      <c r="G395" s="15"/>
      <c r="I395" s="15"/>
    </row>
    <row r="396">
      <c r="E396" s="15"/>
      <c r="F396" s="17"/>
      <c r="G396" s="15"/>
      <c r="I396" s="15"/>
    </row>
    <row r="397">
      <c r="E397" s="15"/>
      <c r="F397" s="17"/>
      <c r="G397" s="15"/>
      <c r="I397" s="15"/>
    </row>
    <row r="398">
      <c r="E398" s="15"/>
      <c r="F398" s="17"/>
      <c r="G398" s="15"/>
      <c r="I398" s="15"/>
    </row>
    <row r="399">
      <c r="E399" s="15"/>
      <c r="F399" s="17"/>
      <c r="G399" s="15"/>
      <c r="I399" s="15"/>
    </row>
    <row r="400">
      <c r="E400" s="15"/>
      <c r="F400" s="17"/>
      <c r="G400" s="15"/>
      <c r="I400" s="15"/>
    </row>
    <row r="401">
      <c r="E401" s="15"/>
      <c r="F401" s="17"/>
      <c r="G401" s="15"/>
      <c r="I401" s="15"/>
    </row>
    <row r="402">
      <c r="E402" s="15"/>
      <c r="F402" s="17"/>
      <c r="G402" s="15"/>
      <c r="I402" s="15"/>
    </row>
    <row r="403">
      <c r="E403" s="15"/>
      <c r="F403" s="17"/>
      <c r="G403" s="15"/>
      <c r="I403" s="15"/>
    </row>
    <row r="404">
      <c r="E404" s="15"/>
      <c r="F404" s="17"/>
      <c r="G404" s="15"/>
      <c r="I404" s="15"/>
    </row>
    <row r="405">
      <c r="E405" s="15"/>
      <c r="F405" s="17"/>
      <c r="G405" s="15"/>
      <c r="I405" s="15"/>
    </row>
    <row r="406">
      <c r="E406" s="15"/>
      <c r="F406" s="17"/>
      <c r="G406" s="15"/>
      <c r="I406" s="15"/>
    </row>
    <row r="407">
      <c r="E407" s="15"/>
      <c r="F407" s="17"/>
      <c r="G407" s="15"/>
      <c r="I407" s="15"/>
    </row>
    <row r="408">
      <c r="E408" s="15"/>
      <c r="F408" s="17"/>
      <c r="G408" s="15"/>
      <c r="I408" s="15"/>
    </row>
    <row r="409">
      <c r="E409" s="15"/>
      <c r="F409" s="17"/>
      <c r="G409" s="15"/>
      <c r="I409" s="15"/>
    </row>
    <row r="410">
      <c r="E410" s="15"/>
      <c r="F410" s="17"/>
      <c r="G410" s="15"/>
      <c r="I410" s="15"/>
    </row>
    <row r="411">
      <c r="E411" s="15"/>
      <c r="F411" s="17"/>
      <c r="G411" s="15"/>
      <c r="I411" s="15"/>
    </row>
    <row r="412">
      <c r="E412" s="15"/>
      <c r="F412" s="17"/>
      <c r="G412" s="15"/>
      <c r="I412" s="15"/>
    </row>
    <row r="413">
      <c r="E413" s="15"/>
      <c r="F413" s="17"/>
      <c r="G413" s="15"/>
      <c r="I413" s="15"/>
    </row>
    <row r="414">
      <c r="E414" s="15"/>
      <c r="F414" s="17"/>
      <c r="G414" s="15"/>
      <c r="I414" s="15"/>
    </row>
    <row r="415">
      <c r="E415" s="15"/>
      <c r="F415" s="17"/>
      <c r="G415" s="15"/>
      <c r="I415" s="15"/>
    </row>
    <row r="416">
      <c r="E416" s="15"/>
      <c r="F416" s="17"/>
      <c r="G416" s="15"/>
      <c r="I416" s="15"/>
    </row>
    <row r="417">
      <c r="E417" s="15"/>
      <c r="F417" s="17"/>
      <c r="G417" s="15"/>
      <c r="I417" s="15"/>
    </row>
    <row r="418">
      <c r="E418" s="15"/>
      <c r="F418" s="17"/>
      <c r="G418" s="15"/>
      <c r="I418" s="15"/>
    </row>
    <row r="419">
      <c r="E419" s="15"/>
      <c r="F419" s="17"/>
      <c r="G419" s="15"/>
      <c r="I419" s="15"/>
    </row>
    <row r="420">
      <c r="E420" s="15"/>
      <c r="F420" s="17"/>
      <c r="G420" s="15"/>
      <c r="I420" s="15"/>
    </row>
    <row r="421">
      <c r="E421" s="15"/>
      <c r="F421" s="17"/>
      <c r="G421" s="15"/>
      <c r="I421" s="15"/>
    </row>
    <row r="422">
      <c r="E422" s="15"/>
      <c r="F422" s="17"/>
      <c r="G422" s="15"/>
      <c r="I422" s="15"/>
    </row>
    <row r="423">
      <c r="E423" s="15"/>
      <c r="F423" s="17"/>
      <c r="G423" s="15"/>
      <c r="I423" s="15"/>
    </row>
    <row r="424">
      <c r="E424" s="15"/>
      <c r="F424" s="17"/>
      <c r="G424" s="15"/>
      <c r="I424" s="15"/>
    </row>
    <row r="425">
      <c r="E425" s="15"/>
      <c r="F425" s="17"/>
      <c r="G425" s="15"/>
      <c r="I425" s="15"/>
    </row>
    <row r="426">
      <c r="E426" s="15"/>
      <c r="F426" s="17"/>
      <c r="G426" s="15"/>
      <c r="I426" s="15"/>
    </row>
    <row r="427">
      <c r="E427" s="15"/>
      <c r="F427" s="17"/>
      <c r="G427" s="15"/>
      <c r="I427" s="15"/>
    </row>
    <row r="428">
      <c r="E428" s="15"/>
      <c r="F428" s="17"/>
      <c r="G428" s="15"/>
      <c r="I428" s="15"/>
    </row>
    <row r="429">
      <c r="E429" s="15"/>
      <c r="F429" s="17"/>
      <c r="G429" s="15"/>
      <c r="I429" s="15"/>
    </row>
    <row r="430">
      <c r="E430" s="15"/>
      <c r="F430" s="17"/>
      <c r="G430" s="15"/>
      <c r="I430" s="15"/>
    </row>
    <row r="431">
      <c r="E431" s="15"/>
      <c r="F431" s="17"/>
      <c r="G431" s="15"/>
      <c r="I431" s="15"/>
    </row>
    <row r="432">
      <c r="E432" s="15"/>
      <c r="F432" s="17"/>
      <c r="G432" s="15"/>
      <c r="I432" s="15"/>
    </row>
    <row r="433">
      <c r="E433" s="15"/>
      <c r="F433" s="17"/>
      <c r="G433" s="15"/>
      <c r="I433" s="15"/>
    </row>
    <row r="434">
      <c r="E434" s="15"/>
      <c r="F434" s="17"/>
      <c r="G434" s="15"/>
      <c r="I434" s="15"/>
    </row>
    <row r="435">
      <c r="E435" s="15"/>
      <c r="F435" s="17"/>
      <c r="G435" s="15"/>
      <c r="I435" s="15"/>
    </row>
    <row r="436">
      <c r="E436" s="15"/>
      <c r="F436" s="17"/>
      <c r="G436" s="15"/>
      <c r="I436" s="15"/>
    </row>
    <row r="437">
      <c r="E437" s="15"/>
      <c r="F437" s="17"/>
      <c r="G437" s="15"/>
      <c r="I437" s="15"/>
    </row>
    <row r="438">
      <c r="E438" s="15"/>
      <c r="F438" s="17"/>
      <c r="G438" s="15"/>
      <c r="I438" s="15"/>
    </row>
    <row r="439">
      <c r="E439" s="15"/>
      <c r="F439" s="17"/>
      <c r="G439" s="15"/>
      <c r="I439" s="15"/>
    </row>
    <row r="440">
      <c r="E440" s="15"/>
      <c r="F440" s="17"/>
      <c r="G440" s="15"/>
      <c r="I440" s="15"/>
    </row>
    <row r="441">
      <c r="E441" s="15"/>
      <c r="F441" s="17"/>
      <c r="G441" s="15"/>
      <c r="I441" s="15"/>
    </row>
    <row r="442">
      <c r="E442" s="15"/>
      <c r="F442" s="17"/>
      <c r="G442" s="15"/>
      <c r="I442" s="15"/>
    </row>
    <row r="443">
      <c r="E443" s="15"/>
      <c r="F443" s="17"/>
      <c r="G443" s="15"/>
      <c r="I443" s="15"/>
    </row>
    <row r="444">
      <c r="E444" s="15"/>
      <c r="F444" s="17"/>
      <c r="G444" s="15"/>
      <c r="I444" s="15"/>
    </row>
    <row r="445">
      <c r="E445" s="15"/>
      <c r="F445" s="17"/>
      <c r="G445" s="15"/>
      <c r="I445" s="15"/>
    </row>
    <row r="446">
      <c r="E446" s="15"/>
      <c r="F446" s="17"/>
      <c r="G446" s="15"/>
      <c r="I446" s="15"/>
    </row>
    <row r="447">
      <c r="E447" s="15"/>
      <c r="F447" s="17"/>
      <c r="G447" s="15"/>
      <c r="I447" s="15"/>
    </row>
    <row r="448">
      <c r="E448" s="15"/>
      <c r="F448" s="17"/>
      <c r="G448" s="15"/>
      <c r="I448" s="15"/>
    </row>
    <row r="449">
      <c r="E449" s="15"/>
      <c r="F449" s="17"/>
      <c r="G449" s="15"/>
      <c r="I449" s="15"/>
    </row>
    <row r="450">
      <c r="E450" s="15"/>
      <c r="F450" s="17"/>
      <c r="G450" s="15"/>
      <c r="I450" s="15"/>
    </row>
    <row r="451">
      <c r="E451" s="15"/>
      <c r="F451" s="17"/>
      <c r="G451" s="15"/>
      <c r="I451" s="15"/>
    </row>
    <row r="452">
      <c r="E452" s="15"/>
      <c r="F452" s="17"/>
      <c r="G452" s="15"/>
      <c r="I452" s="15"/>
    </row>
    <row r="453">
      <c r="E453" s="15"/>
      <c r="F453" s="17"/>
      <c r="G453" s="15"/>
      <c r="I453" s="15"/>
    </row>
    <row r="454">
      <c r="E454" s="15"/>
      <c r="F454" s="17"/>
      <c r="G454" s="15"/>
      <c r="I454" s="15"/>
    </row>
    <row r="455">
      <c r="E455" s="15"/>
      <c r="F455" s="17"/>
      <c r="G455" s="15"/>
      <c r="I455" s="15"/>
    </row>
    <row r="456">
      <c r="E456" s="15"/>
      <c r="F456" s="17"/>
      <c r="G456" s="15"/>
      <c r="I456" s="15"/>
    </row>
    <row r="457">
      <c r="E457" s="15"/>
      <c r="F457" s="17"/>
      <c r="G457" s="15"/>
      <c r="I457" s="15"/>
    </row>
    <row r="458">
      <c r="E458" s="15"/>
      <c r="F458" s="17"/>
      <c r="G458" s="15"/>
      <c r="I458" s="15"/>
    </row>
    <row r="459">
      <c r="E459" s="15"/>
      <c r="F459" s="17"/>
      <c r="G459" s="15"/>
      <c r="I459" s="15"/>
    </row>
    <row r="460">
      <c r="E460" s="15"/>
      <c r="F460" s="17"/>
      <c r="G460" s="15"/>
      <c r="I460" s="15"/>
    </row>
    <row r="461">
      <c r="E461" s="15"/>
      <c r="F461" s="17"/>
      <c r="G461" s="15"/>
      <c r="I461" s="15"/>
    </row>
    <row r="462">
      <c r="E462" s="15"/>
      <c r="F462" s="17"/>
      <c r="G462" s="15"/>
      <c r="I462" s="15"/>
    </row>
    <row r="463">
      <c r="E463" s="15"/>
      <c r="F463" s="17"/>
      <c r="G463" s="15"/>
      <c r="I463" s="15"/>
    </row>
    <row r="464">
      <c r="E464" s="15"/>
      <c r="F464" s="17"/>
      <c r="G464" s="15"/>
      <c r="I464" s="15"/>
    </row>
    <row r="465">
      <c r="E465" s="15"/>
      <c r="F465" s="17"/>
      <c r="G465" s="15"/>
      <c r="I465" s="15"/>
    </row>
    <row r="466">
      <c r="E466" s="15"/>
      <c r="F466" s="17"/>
      <c r="G466" s="15"/>
      <c r="I466" s="15"/>
    </row>
    <row r="467">
      <c r="E467" s="15"/>
      <c r="F467" s="17"/>
      <c r="G467" s="15"/>
      <c r="I467" s="15"/>
    </row>
    <row r="468">
      <c r="E468" s="15"/>
      <c r="F468" s="17"/>
      <c r="G468" s="15"/>
      <c r="I468" s="15"/>
    </row>
    <row r="469">
      <c r="E469" s="15"/>
      <c r="F469" s="17"/>
      <c r="G469" s="15"/>
      <c r="I469" s="15"/>
    </row>
    <row r="470">
      <c r="E470" s="15"/>
      <c r="F470" s="17"/>
      <c r="G470" s="15"/>
      <c r="I470" s="15"/>
    </row>
    <row r="471">
      <c r="E471" s="15"/>
      <c r="F471" s="17"/>
      <c r="G471" s="15"/>
      <c r="I471" s="15"/>
    </row>
    <row r="472">
      <c r="E472" s="15"/>
      <c r="F472" s="17"/>
      <c r="G472" s="15"/>
      <c r="I472" s="15"/>
    </row>
    <row r="473">
      <c r="E473" s="15"/>
      <c r="F473" s="17"/>
      <c r="G473" s="15"/>
      <c r="I473" s="15"/>
    </row>
    <row r="474">
      <c r="E474" s="15"/>
      <c r="F474" s="17"/>
      <c r="G474" s="15"/>
      <c r="I474" s="15"/>
    </row>
    <row r="475">
      <c r="E475" s="15"/>
      <c r="F475" s="17"/>
      <c r="G475" s="15"/>
      <c r="I475" s="15"/>
    </row>
    <row r="476">
      <c r="E476" s="15"/>
      <c r="F476" s="17"/>
      <c r="G476" s="15"/>
      <c r="I476" s="15"/>
    </row>
    <row r="477">
      <c r="E477" s="15"/>
      <c r="F477" s="17"/>
      <c r="G477" s="15"/>
      <c r="I477" s="15"/>
    </row>
    <row r="478">
      <c r="E478" s="15"/>
      <c r="F478" s="17"/>
      <c r="G478" s="15"/>
      <c r="I478" s="15"/>
    </row>
    <row r="479">
      <c r="E479" s="15"/>
      <c r="F479" s="17"/>
      <c r="G479" s="15"/>
      <c r="I479" s="15"/>
    </row>
    <row r="480">
      <c r="E480" s="15"/>
      <c r="F480" s="17"/>
      <c r="G480" s="15"/>
      <c r="I480" s="15"/>
    </row>
    <row r="481">
      <c r="E481" s="15"/>
      <c r="F481" s="17"/>
      <c r="G481" s="15"/>
      <c r="I481" s="15"/>
    </row>
    <row r="482">
      <c r="E482" s="15"/>
      <c r="F482" s="17"/>
      <c r="G482" s="15"/>
      <c r="I482" s="15"/>
    </row>
    <row r="483">
      <c r="E483" s="15"/>
      <c r="F483" s="17"/>
      <c r="G483" s="15"/>
      <c r="I483" s="15"/>
    </row>
    <row r="484">
      <c r="E484" s="15"/>
      <c r="F484" s="17"/>
      <c r="G484" s="15"/>
      <c r="I484" s="15"/>
    </row>
    <row r="485">
      <c r="E485" s="15"/>
      <c r="F485" s="17"/>
      <c r="G485" s="15"/>
      <c r="I485" s="15"/>
    </row>
    <row r="486">
      <c r="E486" s="15"/>
      <c r="F486" s="17"/>
      <c r="G486" s="15"/>
      <c r="I486" s="15"/>
    </row>
    <row r="487">
      <c r="E487" s="15"/>
      <c r="F487" s="17"/>
      <c r="G487" s="15"/>
      <c r="I487" s="15"/>
    </row>
    <row r="488">
      <c r="E488" s="15"/>
      <c r="F488" s="17"/>
      <c r="G488" s="15"/>
      <c r="I488" s="15"/>
    </row>
    <row r="489">
      <c r="E489" s="15"/>
      <c r="F489" s="17"/>
      <c r="G489" s="15"/>
      <c r="I489" s="15"/>
    </row>
    <row r="490">
      <c r="E490" s="15"/>
      <c r="F490" s="17"/>
      <c r="G490" s="15"/>
      <c r="I490" s="15"/>
    </row>
    <row r="491">
      <c r="E491" s="15"/>
      <c r="F491" s="17"/>
      <c r="G491" s="15"/>
      <c r="I491" s="15"/>
    </row>
    <row r="492">
      <c r="E492" s="15"/>
      <c r="F492" s="17"/>
      <c r="G492" s="15"/>
      <c r="I492" s="15"/>
    </row>
    <row r="493">
      <c r="E493" s="15"/>
      <c r="F493" s="17"/>
      <c r="G493" s="15"/>
      <c r="I493" s="15"/>
    </row>
    <row r="494">
      <c r="E494" s="15"/>
      <c r="F494" s="17"/>
      <c r="G494" s="15"/>
      <c r="I494" s="15"/>
    </row>
    <row r="495">
      <c r="E495" s="15"/>
      <c r="F495" s="17"/>
      <c r="G495" s="15"/>
      <c r="I495" s="15"/>
    </row>
    <row r="496">
      <c r="E496" s="15"/>
      <c r="F496" s="17"/>
      <c r="G496" s="15"/>
      <c r="I496" s="15"/>
    </row>
    <row r="497">
      <c r="E497" s="15"/>
      <c r="F497" s="17"/>
      <c r="G497" s="15"/>
      <c r="I497" s="15"/>
    </row>
    <row r="498">
      <c r="E498" s="15"/>
      <c r="F498" s="17"/>
      <c r="G498" s="15"/>
      <c r="I498" s="15"/>
    </row>
    <row r="499">
      <c r="E499" s="15"/>
      <c r="F499" s="17"/>
      <c r="G499" s="15"/>
      <c r="I499" s="15"/>
    </row>
    <row r="500">
      <c r="E500" s="15"/>
      <c r="F500" s="17"/>
      <c r="G500" s="15"/>
      <c r="I500" s="15"/>
    </row>
    <row r="501">
      <c r="E501" s="15"/>
      <c r="F501" s="17"/>
      <c r="G501" s="15"/>
      <c r="I501" s="15"/>
    </row>
    <row r="502">
      <c r="E502" s="15"/>
      <c r="F502" s="17"/>
      <c r="G502" s="15"/>
      <c r="I502" s="15"/>
    </row>
    <row r="503">
      <c r="E503" s="15"/>
      <c r="F503" s="17"/>
      <c r="G503" s="15"/>
      <c r="I503" s="15"/>
    </row>
    <row r="504">
      <c r="E504" s="15"/>
      <c r="F504" s="17"/>
      <c r="G504" s="15"/>
      <c r="I504" s="15"/>
    </row>
    <row r="505">
      <c r="E505" s="15"/>
      <c r="F505" s="17"/>
      <c r="G505" s="15"/>
      <c r="I505" s="15"/>
    </row>
    <row r="506">
      <c r="E506" s="15"/>
      <c r="F506" s="17"/>
      <c r="G506" s="15"/>
      <c r="I506" s="15"/>
    </row>
    <row r="507">
      <c r="E507" s="15"/>
      <c r="F507" s="17"/>
      <c r="G507" s="15"/>
      <c r="I507" s="15"/>
    </row>
    <row r="508">
      <c r="E508" s="15"/>
      <c r="F508" s="17"/>
      <c r="G508" s="15"/>
      <c r="I508" s="15"/>
    </row>
    <row r="509">
      <c r="E509" s="15"/>
      <c r="F509" s="17"/>
      <c r="G509" s="15"/>
      <c r="I509" s="15"/>
    </row>
    <row r="510">
      <c r="E510" s="15"/>
      <c r="F510" s="17"/>
      <c r="G510" s="15"/>
      <c r="I510" s="15"/>
    </row>
    <row r="511">
      <c r="E511" s="15"/>
      <c r="F511" s="17"/>
      <c r="G511" s="15"/>
      <c r="I511" s="15"/>
    </row>
    <row r="512">
      <c r="E512" s="15"/>
      <c r="F512" s="17"/>
      <c r="G512" s="15"/>
      <c r="I512" s="15"/>
    </row>
    <row r="513">
      <c r="E513" s="15"/>
      <c r="F513" s="17"/>
      <c r="G513" s="15"/>
      <c r="I513" s="15"/>
    </row>
    <row r="514">
      <c r="E514" s="15"/>
      <c r="F514" s="17"/>
      <c r="G514" s="15"/>
      <c r="I514" s="15"/>
    </row>
    <row r="515">
      <c r="E515" s="15"/>
      <c r="F515" s="17"/>
      <c r="G515" s="15"/>
      <c r="I515" s="15"/>
    </row>
    <row r="516">
      <c r="E516" s="15"/>
      <c r="F516" s="17"/>
      <c r="G516" s="15"/>
      <c r="I516" s="15"/>
    </row>
    <row r="517">
      <c r="E517" s="15"/>
      <c r="F517" s="17"/>
      <c r="G517" s="15"/>
      <c r="I517" s="15"/>
    </row>
    <row r="518">
      <c r="E518" s="15"/>
      <c r="F518" s="17"/>
      <c r="G518" s="15"/>
      <c r="I518" s="15"/>
    </row>
    <row r="519">
      <c r="E519" s="15"/>
      <c r="F519" s="17"/>
      <c r="G519" s="15"/>
      <c r="I519" s="15"/>
    </row>
    <row r="520">
      <c r="E520" s="15"/>
      <c r="F520" s="17"/>
      <c r="G520" s="15"/>
      <c r="I520" s="15"/>
    </row>
    <row r="521">
      <c r="E521" s="15"/>
      <c r="F521" s="17"/>
      <c r="G521" s="15"/>
      <c r="I521" s="15"/>
    </row>
    <row r="522">
      <c r="E522" s="15"/>
      <c r="F522" s="17"/>
      <c r="G522" s="15"/>
      <c r="I522" s="15"/>
    </row>
    <row r="523">
      <c r="E523" s="15"/>
      <c r="F523" s="17"/>
      <c r="G523" s="15"/>
      <c r="I523" s="15"/>
    </row>
    <row r="524">
      <c r="E524" s="15"/>
      <c r="F524" s="17"/>
      <c r="G524" s="15"/>
      <c r="I524" s="15"/>
    </row>
    <row r="525">
      <c r="E525" s="15"/>
      <c r="F525" s="17"/>
      <c r="G525" s="15"/>
      <c r="I525" s="15"/>
    </row>
    <row r="526">
      <c r="E526" s="15"/>
      <c r="F526" s="17"/>
      <c r="G526" s="15"/>
      <c r="I526" s="15"/>
    </row>
    <row r="527">
      <c r="E527" s="15"/>
      <c r="F527" s="17"/>
      <c r="G527" s="15"/>
      <c r="I527" s="15"/>
    </row>
    <row r="528">
      <c r="E528" s="15"/>
      <c r="F528" s="17"/>
      <c r="G528" s="15"/>
      <c r="I528" s="15"/>
    </row>
    <row r="529">
      <c r="E529" s="15"/>
      <c r="F529" s="17"/>
      <c r="G529" s="15"/>
      <c r="I529" s="15"/>
    </row>
    <row r="530">
      <c r="E530" s="15"/>
      <c r="F530" s="17"/>
      <c r="G530" s="15"/>
      <c r="I530" s="15"/>
    </row>
    <row r="531">
      <c r="E531" s="15"/>
      <c r="F531" s="17"/>
      <c r="G531" s="15"/>
      <c r="I531" s="15"/>
    </row>
    <row r="532">
      <c r="E532" s="15"/>
      <c r="F532" s="17"/>
      <c r="G532" s="15"/>
      <c r="I532" s="15"/>
    </row>
    <row r="533">
      <c r="E533" s="15"/>
      <c r="F533" s="17"/>
      <c r="G533" s="15"/>
      <c r="I533" s="15"/>
    </row>
    <row r="534">
      <c r="E534" s="15"/>
      <c r="F534" s="17"/>
      <c r="G534" s="15"/>
      <c r="I534" s="15"/>
    </row>
    <row r="535">
      <c r="E535" s="15"/>
      <c r="F535" s="17"/>
      <c r="G535" s="15"/>
      <c r="I535" s="15"/>
    </row>
    <row r="536">
      <c r="E536" s="15"/>
      <c r="F536" s="17"/>
      <c r="G536" s="15"/>
      <c r="I536" s="15"/>
    </row>
    <row r="537">
      <c r="E537" s="15"/>
      <c r="F537" s="17"/>
      <c r="G537" s="15"/>
      <c r="I537" s="15"/>
    </row>
    <row r="538">
      <c r="E538" s="15"/>
      <c r="F538" s="17"/>
      <c r="G538" s="15"/>
      <c r="I538" s="15"/>
    </row>
    <row r="539">
      <c r="E539" s="15"/>
      <c r="F539" s="17"/>
      <c r="G539" s="15"/>
      <c r="I539" s="15"/>
    </row>
    <row r="540">
      <c r="E540" s="15"/>
      <c r="F540" s="17"/>
      <c r="G540" s="15"/>
      <c r="I540" s="15"/>
    </row>
    <row r="541">
      <c r="E541" s="15"/>
      <c r="F541" s="17"/>
      <c r="G541" s="15"/>
      <c r="I541" s="15"/>
    </row>
    <row r="542">
      <c r="E542" s="15"/>
      <c r="F542" s="17"/>
      <c r="G542" s="15"/>
      <c r="I542" s="15"/>
    </row>
    <row r="543">
      <c r="E543" s="15"/>
      <c r="F543" s="17"/>
      <c r="G543" s="15"/>
      <c r="I543" s="15"/>
    </row>
    <row r="544">
      <c r="E544" s="15"/>
      <c r="F544" s="17"/>
      <c r="G544" s="15"/>
      <c r="I544" s="15"/>
    </row>
    <row r="545">
      <c r="E545" s="15"/>
      <c r="F545" s="17"/>
      <c r="G545" s="15"/>
      <c r="I545" s="15"/>
    </row>
    <row r="546">
      <c r="E546" s="15"/>
      <c r="F546" s="17"/>
      <c r="G546" s="15"/>
      <c r="I546" s="15"/>
    </row>
    <row r="547">
      <c r="E547" s="15"/>
      <c r="F547" s="17"/>
      <c r="G547" s="15"/>
      <c r="I547" s="15"/>
    </row>
    <row r="548">
      <c r="E548" s="15"/>
      <c r="F548" s="17"/>
      <c r="G548" s="15"/>
      <c r="I548" s="15"/>
    </row>
    <row r="549">
      <c r="E549" s="15"/>
      <c r="F549" s="17"/>
      <c r="G549" s="15"/>
      <c r="I549" s="15"/>
    </row>
    <row r="550">
      <c r="E550" s="15"/>
      <c r="F550" s="17"/>
      <c r="G550" s="15"/>
      <c r="I550" s="15"/>
    </row>
    <row r="551">
      <c r="E551" s="15"/>
      <c r="F551" s="17"/>
      <c r="G551" s="15"/>
      <c r="I551" s="15"/>
    </row>
    <row r="552">
      <c r="E552" s="15"/>
      <c r="F552" s="17"/>
      <c r="G552" s="15"/>
      <c r="I552" s="15"/>
    </row>
    <row r="553">
      <c r="E553" s="15"/>
      <c r="F553" s="17"/>
      <c r="G553" s="15"/>
      <c r="I553" s="15"/>
    </row>
    <row r="554">
      <c r="E554" s="15"/>
      <c r="F554" s="17"/>
      <c r="G554" s="15"/>
      <c r="I554" s="15"/>
    </row>
    <row r="555">
      <c r="E555" s="15"/>
      <c r="F555" s="17"/>
      <c r="G555" s="15"/>
      <c r="I555" s="15"/>
    </row>
    <row r="556">
      <c r="E556" s="15"/>
      <c r="F556" s="17"/>
      <c r="G556" s="15"/>
      <c r="I556" s="15"/>
    </row>
    <row r="557">
      <c r="E557" s="15"/>
      <c r="F557" s="17"/>
      <c r="G557" s="15"/>
      <c r="I557" s="15"/>
    </row>
    <row r="558">
      <c r="E558" s="15"/>
      <c r="F558" s="17"/>
      <c r="G558" s="15"/>
      <c r="I558" s="15"/>
    </row>
    <row r="559">
      <c r="E559" s="15"/>
      <c r="F559" s="17"/>
      <c r="G559" s="15"/>
      <c r="I559" s="15"/>
    </row>
    <row r="560">
      <c r="E560" s="15"/>
      <c r="F560" s="17"/>
      <c r="G560" s="15"/>
      <c r="I560" s="15"/>
    </row>
    <row r="561">
      <c r="E561" s="15"/>
      <c r="F561" s="17"/>
      <c r="G561" s="15"/>
      <c r="I561" s="15"/>
    </row>
    <row r="562">
      <c r="E562" s="15"/>
      <c r="F562" s="17"/>
      <c r="G562" s="15"/>
      <c r="I562" s="15"/>
    </row>
    <row r="563">
      <c r="E563" s="15"/>
      <c r="F563" s="17"/>
      <c r="G563" s="15"/>
      <c r="I563" s="15"/>
    </row>
    <row r="564">
      <c r="E564" s="15"/>
      <c r="F564" s="17"/>
      <c r="G564" s="15"/>
      <c r="I564" s="15"/>
    </row>
    <row r="565">
      <c r="E565" s="15"/>
      <c r="F565" s="17"/>
      <c r="G565" s="15"/>
      <c r="I565" s="15"/>
    </row>
    <row r="566">
      <c r="E566" s="15"/>
      <c r="F566" s="17"/>
      <c r="G566" s="15"/>
      <c r="I566" s="15"/>
    </row>
    <row r="567">
      <c r="E567" s="15"/>
      <c r="F567" s="17"/>
      <c r="G567" s="15"/>
      <c r="I567" s="15"/>
    </row>
    <row r="568">
      <c r="E568" s="15"/>
      <c r="F568" s="17"/>
      <c r="G568" s="15"/>
      <c r="I568" s="15"/>
    </row>
    <row r="569">
      <c r="E569" s="15"/>
      <c r="F569" s="17"/>
      <c r="G569" s="15"/>
      <c r="I569" s="15"/>
    </row>
    <row r="570">
      <c r="E570" s="15"/>
      <c r="F570" s="17"/>
      <c r="G570" s="15"/>
      <c r="I570" s="15"/>
    </row>
    <row r="571">
      <c r="E571" s="15"/>
      <c r="F571" s="17"/>
      <c r="G571" s="15"/>
      <c r="I571" s="15"/>
    </row>
    <row r="572">
      <c r="E572" s="15"/>
      <c r="F572" s="17"/>
      <c r="G572" s="15"/>
      <c r="I572" s="15"/>
    </row>
    <row r="573">
      <c r="E573" s="15"/>
      <c r="F573" s="17"/>
      <c r="G573" s="15"/>
      <c r="I573" s="15"/>
    </row>
    <row r="574">
      <c r="E574" s="15"/>
      <c r="F574" s="17"/>
      <c r="G574" s="15"/>
      <c r="I574" s="15"/>
    </row>
    <row r="575">
      <c r="E575" s="15"/>
      <c r="F575" s="17"/>
      <c r="G575" s="15"/>
      <c r="I575" s="15"/>
    </row>
    <row r="576">
      <c r="E576" s="15"/>
      <c r="F576" s="17"/>
      <c r="G576" s="15"/>
      <c r="I576" s="15"/>
    </row>
    <row r="577">
      <c r="E577" s="15"/>
      <c r="F577" s="17"/>
      <c r="G577" s="15"/>
      <c r="I577" s="15"/>
    </row>
    <row r="578">
      <c r="E578" s="15"/>
      <c r="F578" s="17"/>
      <c r="G578" s="15"/>
      <c r="I578" s="15"/>
    </row>
    <row r="579">
      <c r="E579" s="15"/>
      <c r="F579" s="17"/>
      <c r="G579" s="15"/>
      <c r="I579" s="15"/>
    </row>
    <row r="580">
      <c r="E580" s="15"/>
      <c r="F580" s="17"/>
      <c r="G580" s="15"/>
      <c r="I580" s="15"/>
    </row>
    <row r="581">
      <c r="E581" s="15"/>
      <c r="F581" s="17"/>
      <c r="G581" s="15"/>
      <c r="I581" s="15"/>
    </row>
    <row r="582">
      <c r="E582" s="15"/>
      <c r="F582" s="17"/>
      <c r="G582" s="15"/>
      <c r="I582" s="15"/>
    </row>
    <row r="583">
      <c r="E583" s="15"/>
      <c r="F583" s="17"/>
      <c r="G583" s="15"/>
      <c r="I583" s="15"/>
    </row>
    <row r="584">
      <c r="E584" s="15"/>
      <c r="F584" s="17"/>
      <c r="G584" s="15"/>
      <c r="I584" s="15"/>
    </row>
    <row r="585">
      <c r="E585" s="15"/>
      <c r="F585" s="17"/>
      <c r="G585" s="15"/>
      <c r="I585" s="15"/>
    </row>
    <row r="586">
      <c r="E586" s="15"/>
      <c r="F586" s="17"/>
      <c r="G586" s="15"/>
      <c r="I586" s="15"/>
    </row>
    <row r="587">
      <c r="E587" s="15"/>
      <c r="F587" s="17"/>
      <c r="G587" s="15"/>
      <c r="I587" s="15"/>
    </row>
    <row r="588">
      <c r="E588" s="15"/>
      <c r="F588" s="17"/>
      <c r="G588" s="15"/>
      <c r="I588" s="15"/>
    </row>
    <row r="589">
      <c r="E589" s="15"/>
      <c r="F589" s="17"/>
      <c r="G589" s="15"/>
      <c r="I589" s="15"/>
    </row>
    <row r="590">
      <c r="E590" s="15"/>
      <c r="F590" s="17"/>
      <c r="G590" s="15"/>
      <c r="I590" s="15"/>
    </row>
    <row r="591">
      <c r="E591" s="15"/>
      <c r="F591" s="17"/>
      <c r="G591" s="15"/>
      <c r="I591" s="15"/>
    </row>
    <row r="592">
      <c r="E592" s="15"/>
      <c r="F592" s="17"/>
      <c r="G592" s="15"/>
      <c r="I592" s="15"/>
    </row>
    <row r="593">
      <c r="E593" s="15"/>
      <c r="F593" s="17"/>
      <c r="G593" s="15"/>
      <c r="I593" s="15"/>
    </row>
    <row r="594">
      <c r="E594" s="15"/>
      <c r="F594" s="17"/>
      <c r="G594" s="15"/>
      <c r="I594" s="15"/>
    </row>
    <row r="595">
      <c r="E595" s="15"/>
      <c r="F595" s="17"/>
      <c r="G595" s="15"/>
      <c r="I595" s="15"/>
    </row>
    <row r="596">
      <c r="E596" s="15"/>
      <c r="F596" s="17"/>
      <c r="G596" s="15"/>
      <c r="I596" s="15"/>
    </row>
    <row r="597">
      <c r="E597" s="15"/>
      <c r="F597" s="17"/>
      <c r="G597" s="15"/>
      <c r="I597" s="15"/>
    </row>
    <row r="598">
      <c r="E598" s="15"/>
      <c r="F598" s="17"/>
      <c r="G598" s="15"/>
      <c r="I598" s="15"/>
    </row>
    <row r="599">
      <c r="E599" s="15"/>
      <c r="F599" s="17"/>
      <c r="G599" s="15"/>
      <c r="I599" s="15"/>
    </row>
    <row r="600">
      <c r="E600" s="15"/>
      <c r="F600" s="17"/>
      <c r="G600" s="15"/>
      <c r="I600" s="15"/>
    </row>
    <row r="601">
      <c r="E601" s="15"/>
      <c r="F601" s="17"/>
      <c r="G601" s="15"/>
      <c r="I601" s="15"/>
    </row>
    <row r="602">
      <c r="E602" s="15"/>
      <c r="F602" s="17"/>
      <c r="G602" s="15"/>
      <c r="I602" s="15"/>
    </row>
    <row r="603">
      <c r="E603" s="15"/>
      <c r="F603" s="17"/>
      <c r="G603" s="15"/>
      <c r="I603" s="15"/>
    </row>
    <row r="604">
      <c r="E604" s="15"/>
      <c r="F604" s="17"/>
      <c r="G604" s="15"/>
      <c r="I604" s="15"/>
    </row>
    <row r="605">
      <c r="E605" s="15"/>
      <c r="F605" s="17"/>
      <c r="G605" s="15"/>
      <c r="I605" s="15"/>
    </row>
    <row r="606">
      <c r="E606" s="15"/>
      <c r="F606" s="17"/>
      <c r="G606" s="15"/>
      <c r="I606" s="15"/>
    </row>
    <row r="607">
      <c r="E607" s="15"/>
      <c r="F607" s="17"/>
      <c r="G607" s="15"/>
      <c r="I607" s="15"/>
    </row>
    <row r="608">
      <c r="E608" s="15"/>
      <c r="F608" s="17"/>
      <c r="G608" s="15"/>
      <c r="I608" s="15"/>
    </row>
    <row r="609">
      <c r="E609" s="15"/>
      <c r="F609" s="17"/>
      <c r="G609" s="15"/>
      <c r="I609" s="15"/>
    </row>
    <row r="610">
      <c r="E610" s="15"/>
      <c r="F610" s="17"/>
      <c r="G610" s="15"/>
      <c r="I610" s="15"/>
    </row>
    <row r="611">
      <c r="E611" s="15"/>
      <c r="F611" s="17"/>
      <c r="G611" s="15"/>
      <c r="I611" s="15"/>
    </row>
    <row r="612">
      <c r="E612" s="15"/>
      <c r="F612" s="17"/>
      <c r="G612" s="15"/>
      <c r="I612" s="15"/>
    </row>
    <row r="613">
      <c r="E613" s="15"/>
      <c r="F613" s="17"/>
      <c r="G613" s="15"/>
      <c r="I613" s="15"/>
    </row>
    <row r="614">
      <c r="E614" s="15"/>
      <c r="F614" s="17"/>
      <c r="G614" s="15"/>
      <c r="I614" s="15"/>
    </row>
    <row r="615">
      <c r="E615" s="15"/>
      <c r="F615" s="17"/>
      <c r="G615" s="15"/>
      <c r="I615" s="15"/>
    </row>
    <row r="616">
      <c r="E616" s="15"/>
      <c r="F616" s="17"/>
      <c r="G616" s="15"/>
      <c r="I616" s="15"/>
    </row>
    <row r="617">
      <c r="E617" s="15"/>
      <c r="F617" s="17"/>
      <c r="G617" s="15"/>
      <c r="I617" s="15"/>
    </row>
    <row r="618">
      <c r="E618" s="15"/>
      <c r="F618" s="17"/>
      <c r="G618" s="15"/>
      <c r="I618" s="15"/>
    </row>
    <row r="619">
      <c r="E619" s="15"/>
      <c r="F619" s="17"/>
      <c r="G619" s="15"/>
      <c r="I619" s="15"/>
    </row>
    <row r="620">
      <c r="E620" s="15"/>
      <c r="F620" s="17"/>
      <c r="G620" s="15"/>
      <c r="I620" s="15"/>
    </row>
    <row r="621">
      <c r="E621" s="15"/>
      <c r="F621" s="17"/>
      <c r="G621" s="15"/>
      <c r="I621" s="15"/>
    </row>
    <row r="622">
      <c r="E622" s="15"/>
      <c r="F622" s="17"/>
      <c r="G622" s="15"/>
      <c r="I622" s="15"/>
    </row>
    <row r="623">
      <c r="E623" s="15"/>
      <c r="F623" s="17"/>
      <c r="G623" s="15"/>
      <c r="I623" s="15"/>
    </row>
    <row r="624">
      <c r="E624" s="15"/>
      <c r="F624" s="17"/>
      <c r="G624" s="15"/>
      <c r="I624" s="15"/>
    </row>
    <row r="625">
      <c r="E625" s="15"/>
      <c r="F625" s="17"/>
      <c r="G625" s="15"/>
      <c r="I625" s="15"/>
    </row>
    <row r="626">
      <c r="E626" s="15"/>
      <c r="F626" s="17"/>
      <c r="G626" s="15"/>
      <c r="I626" s="15"/>
    </row>
    <row r="627">
      <c r="E627" s="15"/>
      <c r="F627" s="17"/>
      <c r="G627" s="15"/>
      <c r="I627" s="15"/>
    </row>
    <row r="628">
      <c r="E628" s="15"/>
      <c r="F628" s="17"/>
      <c r="G628" s="15"/>
      <c r="I628" s="15"/>
    </row>
    <row r="629">
      <c r="E629" s="15"/>
      <c r="F629" s="17"/>
      <c r="G629" s="15"/>
      <c r="I629" s="15"/>
    </row>
    <row r="630">
      <c r="E630" s="15"/>
      <c r="F630" s="17"/>
      <c r="G630" s="15"/>
      <c r="I630" s="15"/>
    </row>
    <row r="631">
      <c r="E631" s="15"/>
      <c r="F631" s="17"/>
      <c r="G631" s="15"/>
      <c r="I631" s="15"/>
    </row>
    <row r="632">
      <c r="E632" s="15"/>
      <c r="F632" s="17"/>
      <c r="G632" s="15"/>
      <c r="I632" s="15"/>
    </row>
    <row r="633">
      <c r="E633" s="15"/>
      <c r="F633" s="17"/>
      <c r="G633" s="15"/>
      <c r="I633" s="15"/>
    </row>
    <row r="634">
      <c r="E634" s="15"/>
      <c r="F634" s="17"/>
      <c r="G634" s="15"/>
      <c r="I634" s="15"/>
    </row>
    <row r="635">
      <c r="E635" s="15"/>
      <c r="F635" s="17"/>
      <c r="G635" s="15"/>
      <c r="I635" s="15"/>
    </row>
    <row r="636">
      <c r="E636" s="15"/>
      <c r="F636" s="17"/>
      <c r="G636" s="15"/>
      <c r="I636" s="15"/>
    </row>
    <row r="637">
      <c r="E637" s="15"/>
      <c r="F637" s="17"/>
      <c r="G637" s="15"/>
      <c r="I637" s="15"/>
    </row>
    <row r="638">
      <c r="E638" s="15"/>
      <c r="F638" s="17"/>
      <c r="G638" s="15"/>
      <c r="I638" s="15"/>
    </row>
    <row r="639">
      <c r="E639" s="15"/>
      <c r="F639" s="17"/>
      <c r="G639" s="15"/>
      <c r="I639" s="15"/>
    </row>
    <row r="640">
      <c r="E640" s="15"/>
      <c r="F640" s="17"/>
      <c r="G640" s="15"/>
      <c r="I640" s="15"/>
    </row>
    <row r="641">
      <c r="E641" s="15"/>
      <c r="F641" s="17"/>
      <c r="G641" s="15"/>
      <c r="I641" s="15"/>
    </row>
    <row r="642">
      <c r="E642" s="15"/>
      <c r="F642" s="17"/>
      <c r="G642" s="15"/>
      <c r="I642" s="15"/>
    </row>
    <row r="643">
      <c r="E643" s="15"/>
      <c r="F643" s="17"/>
      <c r="G643" s="15"/>
      <c r="I643" s="15"/>
    </row>
    <row r="644">
      <c r="E644" s="15"/>
      <c r="F644" s="17"/>
      <c r="G644" s="15"/>
      <c r="I644" s="15"/>
    </row>
    <row r="645">
      <c r="E645" s="15"/>
      <c r="F645" s="17"/>
      <c r="G645" s="15"/>
      <c r="I645" s="15"/>
    </row>
    <row r="646">
      <c r="E646" s="15"/>
      <c r="F646" s="17"/>
      <c r="G646" s="15"/>
      <c r="I646" s="15"/>
    </row>
    <row r="647">
      <c r="E647" s="15"/>
      <c r="F647" s="17"/>
      <c r="G647" s="15"/>
      <c r="I647" s="15"/>
    </row>
    <row r="648">
      <c r="E648" s="15"/>
      <c r="F648" s="17"/>
      <c r="G648" s="15"/>
      <c r="I648" s="15"/>
    </row>
    <row r="649">
      <c r="E649" s="15"/>
      <c r="F649" s="17"/>
      <c r="G649" s="15"/>
      <c r="I649" s="15"/>
    </row>
    <row r="650">
      <c r="E650" s="15"/>
      <c r="F650" s="17"/>
      <c r="G650" s="15"/>
      <c r="I650" s="15"/>
    </row>
    <row r="651">
      <c r="E651" s="15"/>
      <c r="F651" s="17"/>
      <c r="G651" s="15"/>
      <c r="I651" s="15"/>
    </row>
    <row r="652">
      <c r="E652" s="15"/>
      <c r="F652" s="17"/>
      <c r="G652" s="15"/>
      <c r="I652" s="15"/>
    </row>
    <row r="653">
      <c r="E653" s="15"/>
      <c r="F653" s="17"/>
      <c r="G653" s="15"/>
      <c r="I653" s="15"/>
    </row>
    <row r="654">
      <c r="E654" s="15"/>
      <c r="F654" s="17"/>
      <c r="G654" s="15"/>
      <c r="I654" s="15"/>
    </row>
    <row r="655">
      <c r="E655" s="15"/>
      <c r="F655" s="17"/>
      <c r="G655" s="15"/>
      <c r="I655" s="15"/>
    </row>
    <row r="656">
      <c r="E656" s="15"/>
      <c r="F656" s="17"/>
      <c r="G656" s="15"/>
      <c r="I656" s="15"/>
    </row>
    <row r="657">
      <c r="E657" s="15"/>
      <c r="F657" s="17"/>
      <c r="G657" s="15"/>
      <c r="I657" s="15"/>
    </row>
    <row r="658">
      <c r="E658" s="15"/>
      <c r="F658" s="17"/>
      <c r="G658" s="15"/>
      <c r="I658" s="15"/>
    </row>
    <row r="659">
      <c r="E659" s="15"/>
      <c r="F659" s="17"/>
      <c r="G659" s="15"/>
      <c r="I659" s="15"/>
    </row>
    <row r="660">
      <c r="E660" s="15"/>
      <c r="F660" s="17"/>
      <c r="G660" s="15"/>
      <c r="I660" s="15"/>
    </row>
    <row r="661">
      <c r="E661" s="15"/>
      <c r="F661" s="17"/>
      <c r="G661" s="15"/>
      <c r="I661" s="15"/>
    </row>
    <row r="662">
      <c r="E662" s="15"/>
      <c r="F662" s="17"/>
      <c r="G662" s="15"/>
      <c r="I662" s="15"/>
    </row>
    <row r="663">
      <c r="E663" s="15"/>
      <c r="F663" s="17"/>
      <c r="G663" s="15"/>
      <c r="I663" s="15"/>
    </row>
    <row r="664">
      <c r="E664" s="15"/>
      <c r="F664" s="17"/>
      <c r="G664" s="15"/>
      <c r="I664" s="15"/>
    </row>
    <row r="665">
      <c r="E665" s="15"/>
      <c r="F665" s="17"/>
      <c r="G665" s="15"/>
      <c r="I665" s="15"/>
    </row>
    <row r="666">
      <c r="E666" s="15"/>
      <c r="F666" s="17"/>
      <c r="G666" s="15"/>
      <c r="I666" s="15"/>
    </row>
    <row r="667">
      <c r="E667" s="15"/>
      <c r="F667" s="17"/>
      <c r="G667" s="15"/>
      <c r="I667" s="15"/>
    </row>
    <row r="668">
      <c r="E668" s="15"/>
      <c r="F668" s="17"/>
      <c r="G668" s="15"/>
      <c r="I668" s="15"/>
    </row>
    <row r="669">
      <c r="E669" s="15"/>
      <c r="F669" s="17"/>
      <c r="G669" s="15"/>
      <c r="I669" s="15"/>
    </row>
    <row r="670">
      <c r="E670" s="15"/>
      <c r="F670" s="17"/>
      <c r="G670" s="15"/>
      <c r="I670" s="15"/>
    </row>
    <row r="671">
      <c r="E671" s="15"/>
      <c r="F671" s="17"/>
      <c r="G671" s="15"/>
      <c r="I671" s="15"/>
    </row>
    <row r="672">
      <c r="E672" s="15"/>
      <c r="F672" s="17"/>
      <c r="G672" s="15"/>
      <c r="I672" s="15"/>
    </row>
    <row r="673">
      <c r="E673" s="15"/>
      <c r="F673" s="17"/>
      <c r="G673" s="15"/>
      <c r="I673" s="15"/>
    </row>
    <row r="674">
      <c r="E674" s="15"/>
      <c r="F674" s="17"/>
      <c r="G674" s="15"/>
      <c r="I674" s="15"/>
    </row>
    <row r="675">
      <c r="E675" s="15"/>
      <c r="F675" s="17"/>
      <c r="G675" s="15"/>
      <c r="I675" s="15"/>
    </row>
    <row r="676">
      <c r="E676" s="15"/>
      <c r="F676" s="17"/>
      <c r="G676" s="15"/>
      <c r="I676" s="15"/>
    </row>
    <row r="677">
      <c r="E677" s="15"/>
      <c r="F677" s="17"/>
      <c r="G677" s="15"/>
      <c r="I677" s="15"/>
    </row>
    <row r="678">
      <c r="E678" s="15"/>
      <c r="F678" s="17"/>
      <c r="G678" s="15"/>
      <c r="I678" s="15"/>
    </row>
    <row r="679">
      <c r="E679" s="15"/>
      <c r="F679" s="17"/>
      <c r="G679" s="15"/>
      <c r="I679" s="15"/>
    </row>
    <row r="680">
      <c r="E680" s="15"/>
      <c r="F680" s="17"/>
      <c r="G680" s="15"/>
      <c r="I680" s="15"/>
    </row>
    <row r="681">
      <c r="E681" s="15"/>
      <c r="F681" s="17"/>
      <c r="G681" s="15"/>
      <c r="I681" s="15"/>
    </row>
    <row r="682">
      <c r="E682" s="15"/>
      <c r="F682" s="17"/>
      <c r="G682" s="15"/>
      <c r="I682" s="15"/>
    </row>
    <row r="683">
      <c r="E683" s="15"/>
      <c r="F683" s="17"/>
      <c r="G683" s="15"/>
      <c r="I683" s="15"/>
    </row>
    <row r="684">
      <c r="E684" s="15"/>
      <c r="F684" s="17"/>
      <c r="G684" s="15"/>
      <c r="I684" s="15"/>
    </row>
    <row r="685">
      <c r="E685" s="15"/>
      <c r="F685" s="17"/>
      <c r="G685" s="15"/>
      <c r="I685" s="15"/>
    </row>
    <row r="686">
      <c r="E686" s="15"/>
      <c r="F686" s="17"/>
      <c r="G686" s="15"/>
      <c r="I686" s="15"/>
    </row>
    <row r="687">
      <c r="E687" s="15"/>
      <c r="F687" s="17"/>
      <c r="G687" s="15"/>
      <c r="I687" s="15"/>
    </row>
    <row r="688">
      <c r="E688" s="15"/>
      <c r="F688" s="17"/>
      <c r="G688" s="15"/>
      <c r="I688" s="15"/>
    </row>
    <row r="689">
      <c r="E689" s="15"/>
      <c r="F689" s="17"/>
      <c r="G689" s="15"/>
      <c r="I689" s="15"/>
    </row>
    <row r="690">
      <c r="E690" s="15"/>
      <c r="F690" s="17"/>
      <c r="G690" s="15"/>
      <c r="I690" s="15"/>
    </row>
    <row r="691">
      <c r="E691" s="15"/>
      <c r="F691" s="17"/>
      <c r="G691" s="15"/>
      <c r="I691" s="15"/>
    </row>
    <row r="692">
      <c r="E692" s="15"/>
      <c r="F692" s="17"/>
      <c r="G692" s="15"/>
      <c r="I692" s="15"/>
    </row>
    <row r="693">
      <c r="E693" s="15"/>
      <c r="F693" s="17"/>
      <c r="G693" s="15"/>
      <c r="I693" s="15"/>
    </row>
    <row r="694">
      <c r="E694" s="15"/>
      <c r="F694" s="17"/>
      <c r="G694" s="15"/>
      <c r="I694" s="15"/>
    </row>
    <row r="695">
      <c r="E695" s="15"/>
      <c r="F695" s="17"/>
      <c r="G695" s="15"/>
      <c r="I695" s="15"/>
    </row>
    <row r="696">
      <c r="E696" s="15"/>
      <c r="F696" s="17"/>
      <c r="G696" s="15"/>
      <c r="I696" s="15"/>
    </row>
    <row r="697">
      <c r="E697" s="15"/>
      <c r="F697" s="17"/>
      <c r="G697" s="15"/>
      <c r="I697" s="15"/>
    </row>
    <row r="698">
      <c r="E698" s="15"/>
      <c r="F698" s="17"/>
      <c r="G698" s="15"/>
      <c r="I698" s="15"/>
    </row>
    <row r="699">
      <c r="E699" s="15"/>
      <c r="F699" s="17"/>
      <c r="G699" s="15"/>
      <c r="I699" s="15"/>
    </row>
    <row r="700">
      <c r="E700" s="15"/>
      <c r="F700" s="17"/>
      <c r="G700" s="15"/>
      <c r="I700" s="15"/>
    </row>
    <row r="701">
      <c r="E701" s="15"/>
      <c r="F701" s="17"/>
      <c r="G701" s="15"/>
      <c r="I701" s="15"/>
    </row>
    <row r="702">
      <c r="E702" s="15"/>
      <c r="F702" s="17"/>
      <c r="G702" s="15"/>
      <c r="I702" s="15"/>
    </row>
    <row r="703">
      <c r="E703" s="15"/>
      <c r="F703" s="17"/>
      <c r="G703" s="15"/>
      <c r="I703" s="15"/>
    </row>
    <row r="704">
      <c r="E704" s="15"/>
      <c r="F704" s="17"/>
      <c r="G704" s="15"/>
      <c r="I704" s="15"/>
    </row>
    <row r="705">
      <c r="E705" s="15"/>
      <c r="F705" s="17"/>
      <c r="G705" s="15"/>
      <c r="I705" s="15"/>
    </row>
    <row r="706">
      <c r="E706" s="15"/>
      <c r="F706" s="17"/>
      <c r="G706" s="15"/>
      <c r="I706" s="15"/>
    </row>
    <row r="707">
      <c r="E707" s="15"/>
      <c r="F707" s="17"/>
      <c r="G707" s="15"/>
      <c r="I707" s="15"/>
    </row>
    <row r="708">
      <c r="E708" s="15"/>
      <c r="F708" s="17"/>
      <c r="G708" s="15"/>
      <c r="I708" s="15"/>
    </row>
    <row r="709">
      <c r="E709" s="15"/>
      <c r="F709" s="17"/>
      <c r="G709" s="15"/>
      <c r="I709" s="15"/>
    </row>
    <row r="710">
      <c r="E710" s="15"/>
      <c r="F710" s="17"/>
      <c r="G710" s="15"/>
      <c r="I710" s="15"/>
    </row>
    <row r="711">
      <c r="E711" s="15"/>
      <c r="F711" s="17"/>
      <c r="G711" s="15"/>
      <c r="I711" s="15"/>
    </row>
    <row r="712">
      <c r="E712" s="15"/>
      <c r="F712" s="17"/>
      <c r="G712" s="15"/>
      <c r="I712" s="15"/>
    </row>
    <row r="713">
      <c r="E713" s="15"/>
      <c r="F713" s="17"/>
      <c r="G713" s="15"/>
      <c r="I713" s="15"/>
    </row>
    <row r="714">
      <c r="E714" s="15"/>
      <c r="F714" s="17"/>
      <c r="G714" s="15"/>
      <c r="I714" s="15"/>
    </row>
    <row r="715">
      <c r="E715" s="15"/>
      <c r="F715" s="17"/>
      <c r="G715" s="15"/>
      <c r="I715" s="15"/>
    </row>
    <row r="716">
      <c r="E716" s="15"/>
      <c r="F716" s="17"/>
      <c r="G716" s="15"/>
      <c r="I716" s="15"/>
    </row>
    <row r="717">
      <c r="E717" s="15"/>
      <c r="F717" s="17"/>
      <c r="G717" s="15"/>
      <c r="I717" s="15"/>
    </row>
    <row r="718">
      <c r="E718" s="15"/>
      <c r="F718" s="17"/>
      <c r="G718" s="15"/>
      <c r="I718" s="15"/>
    </row>
    <row r="719">
      <c r="E719" s="15"/>
      <c r="F719" s="17"/>
      <c r="G719" s="15"/>
      <c r="I719" s="15"/>
    </row>
    <row r="720">
      <c r="E720" s="15"/>
      <c r="F720" s="17"/>
      <c r="G720" s="15"/>
      <c r="I720" s="15"/>
    </row>
    <row r="721">
      <c r="E721" s="15"/>
      <c r="F721" s="17"/>
      <c r="G721" s="15"/>
      <c r="I721" s="15"/>
    </row>
    <row r="722">
      <c r="E722" s="15"/>
      <c r="F722" s="17"/>
      <c r="G722" s="15"/>
      <c r="I722" s="15"/>
    </row>
    <row r="723">
      <c r="E723" s="15"/>
      <c r="F723" s="17"/>
      <c r="G723" s="15"/>
      <c r="I723" s="15"/>
    </row>
    <row r="724">
      <c r="E724" s="15"/>
      <c r="F724" s="17"/>
      <c r="G724" s="15"/>
      <c r="I724" s="15"/>
    </row>
    <row r="725">
      <c r="E725" s="15"/>
      <c r="F725" s="17"/>
      <c r="G725" s="15"/>
      <c r="I725" s="15"/>
    </row>
    <row r="726">
      <c r="E726" s="15"/>
      <c r="F726" s="17"/>
      <c r="G726" s="15"/>
      <c r="I726" s="15"/>
    </row>
    <row r="727">
      <c r="E727" s="15"/>
      <c r="F727" s="17"/>
      <c r="G727" s="15"/>
      <c r="I727" s="15"/>
    </row>
    <row r="728">
      <c r="E728" s="15"/>
      <c r="F728" s="17"/>
      <c r="G728" s="15"/>
      <c r="I728" s="15"/>
    </row>
    <row r="729">
      <c r="E729" s="15"/>
      <c r="F729" s="17"/>
      <c r="G729" s="15"/>
      <c r="I729" s="15"/>
    </row>
    <row r="730">
      <c r="E730" s="15"/>
      <c r="F730" s="17"/>
      <c r="G730" s="15"/>
      <c r="I730" s="15"/>
    </row>
    <row r="731">
      <c r="E731" s="15"/>
      <c r="F731" s="17"/>
      <c r="G731" s="15"/>
      <c r="I731" s="15"/>
    </row>
    <row r="732">
      <c r="E732" s="15"/>
      <c r="F732" s="17"/>
      <c r="G732" s="15"/>
      <c r="I732" s="15"/>
    </row>
    <row r="733">
      <c r="E733" s="15"/>
      <c r="F733" s="17"/>
      <c r="G733" s="15"/>
      <c r="I733" s="15"/>
    </row>
    <row r="734">
      <c r="E734" s="15"/>
      <c r="F734" s="17"/>
      <c r="G734" s="15"/>
      <c r="I734" s="15"/>
    </row>
    <row r="735">
      <c r="E735" s="15"/>
      <c r="F735" s="17"/>
      <c r="G735" s="15"/>
      <c r="I735" s="15"/>
    </row>
    <row r="736">
      <c r="E736" s="15"/>
      <c r="F736" s="17"/>
      <c r="G736" s="15"/>
      <c r="I736" s="15"/>
    </row>
    <row r="737">
      <c r="E737" s="15"/>
      <c r="F737" s="17"/>
      <c r="G737" s="15"/>
      <c r="I737" s="15"/>
    </row>
    <row r="738">
      <c r="E738" s="15"/>
      <c r="F738" s="17"/>
      <c r="G738" s="15"/>
      <c r="I738" s="15"/>
    </row>
    <row r="739">
      <c r="E739" s="15"/>
      <c r="F739" s="17"/>
      <c r="G739" s="15"/>
      <c r="I739" s="15"/>
    </row>
    <row r="740">
      <c r="E740" s="15"/>
      <c r="F740" s="17"/>
      <c r="G740" s="15"/>
      <c r="I740" s="15"/>
    </row>
    <row r="741">
      <c r="E741" s="15"/>
      <c r="F741" s="17"/>
      <c r="G741" s="15"/>
      <c r="I741" s="15"/>
    </row>
    <row r="742">
      <c r="E742" s="15"/>
      <c r="F742" s="17"/>
      <c r="G742" s="15"/>
      <c r="I742" s="15"/>
    </row>
    <row r="743">
      <c r="E743" s="15"/>
      <c r="F743" s="17"/>
      <c r="G743" s="15"/>
      <c r="I743" s="15"/>
    </row>
    <row r="744">
      <c r="E744" s="15"/>
      <c r="F744" s="17"/>
      <c r="G744" s="15"/>
      <c r="I744" s="15"/>
    </row>
    <row r="745">
      <c r="E745" s="15"/>
      <c r="F745" s="17"/>
      <c r="G745" s="15"/>
      <c r="I745" s="15"/>
    </row>
    <row r="746">
      <c r="E746" s="15"/>
      <c r="F746" s="17"/>
      <c r="G746" s="15"/>
      <c r="I746" s="15"/>
    </row>
    <row r="747">
      <c r="E747" s="15"/>
      <c r="F747" s="17"/>
      <c r="G747" s="15"/>
      <c r="I747" s="15"/>
    </row>
    <row r="748">
      <c r="E748" s="15"/>
      <c r="F748" s="17"/>
      <c r="G748" s="15"/>
      <c r="I748" s="15"/>
    </row>
    <row r="749">
      <c r="E749" s="15"/>
      <c r="F749" s="17"/>
      <c r="G749" s="15"/>
      <c r="I749" s="15"/>
    </row>
    <row r="750">
      <c r="E750" s="15"/>
      <c r="F750" s="17"/>
      <c r="G750" s="15"/>
      <c r="I750" s="15"/>
    </row>
    <row r="751">
      <c r="E751" s="15"/>
      <c r="F751" s="17"/>
      <c r="G751" s="15"/>
      <c r="I751" s="15"/>
    </row>
    <row r="752">
      <c r="E752" s="15"/>
      <c r="F752" s="17"/>
      <c r="G752" s="15"/>
      <c r="I752" s="15"/>
    </row>
    <row r="753">
      <c r="E753" s="15"/>
      <c r="F753" s="17"/>
      <c r="G753" s="15"/>
      <c r="I753" s="15"/>
    </row>
    <row r="754">
      <c r="E754" s="15"/>
      <c r="F754" s="17"/>
      <c r="G754" s="15"/>
      <c r="I754" s="15"/>
    </row>
    <row r="755">
      <c r="E755" s="15"/>
      <c r="F755" s="17"/>
      <c r="G755" s="15"/>
      <c r="I755" s="15"/>
    </row>
    <row r="756">
      <c r="E756" s="15"/>
      <c r="F756" s="17"/>
      <c r="G756" s="15"/>
      <c r="I756" s="15"/>
    </row>
    <row r="757">
      <c r="E757" s="15"/>
      <c r="F757" s="17"/>
      <c r="G757" s="15"/>
      <c r="I757" s="15"/>
    </row>
    <row r="758">
      <c r="E758" s="15"/>
      <c r="F758" s="17"/>
      <c r="G758" s="15"/>
      <c r="I758" s="15"/>
    </row>
    <row r="759">
      <c r="E759" s="15"/>
      <c r="F759" s="17"/>
      <c r="G759" s="15"/>
      <c r="I759" s="15"/>
    </row>
    <row r="760">
      <c r="E760" s="15"/>
      <c r="F760" s="17"/>
      <c r="G760" s="15"/>
      <c r="I760" s="15"/>
    </row>
    <row r="761">
      <c r="E761" s="15"/>
      <c r="F761" s="17"/>
      <c r="G761" s="15"/>
      <c r="I761" s="15"/>
    </row>
    <row r="762">
      <c r="E762" s="15"/>
      <c r="F762" s="17"/>
      <c r="G762" s="15"/>
      <c r="I762" s="15"/>
    </row>
    <row r="763">
      <c r="E763" s="15"/>
      <c r="F763" s="17"/>
      <c r="G763" s="15"/>
      <c r="I763" s="15"/>
    </row>
    <row r="764">
      <c r="E764" s="15"/>
      <c r="F764" s="17"/>
      <c r="G764" s="15"/>
      <c r="I764" s="15"/>
    </row>
    <row r="765">
      <c r="E765" s="15"/>
      <c r="F765" s="17"/>
      <c r="G765" s="15"/>
      <c r="I765" s="15"/>
    </row>
    <row r="766">
      <c r="E766" s="15"/>
      <c r="F766" s="17"/>
      <c r="G766" s="15"/>
      <c r="I766" s="15"/>
    </row>
    <row r="767">
      <c r="E767" s="15"/>
      <c r="F767" s="17"/>
      <c r="G767" s="15"/>
      <c r="I767" s="15"/>
    </row>
    <row r="768">
      <c r="E768" s="15"/>
      <c r="F768" s="17"/>
      <c r="G768" s="15"/>
      <c r="I768" s="15"/>
    </row>
    <row r="769">
      <c r="E769" s="15"/>
      <c r="F769" s="17"/>
      <c r="G769" s="15"/>
      <c r="I769" s="15"/>
    </row>
    <row r="770">
      <c r="E770" s="15"/>
      <c r="F770" s="17"/>
      <c r="G770" s="15"/>
      <c r="I770" s="15"/>
    </row>
    <row r="771">
      <c r="E771" s="15"/>
      <c r="F771" s="17"/>
      <c r="G771" s="15"/>
      <c r="I771" s="15"/>
    </row>
    <row r="772">
      <c r="E772" s="15"/>
      <c r="F772" s="17"/>
      <c r="G772" s="15"/>
      <c r="I772" s="15"/>
    </row>
    <row r="773">
      <c r="E773" s="15"/>
      <c r="F773" s="17"/>
      <c r="G773" s="15"/>
      <c r="I773" s="15"/>
    </row>
    <row r="774">
      <c r="E774" s="15"/>
      <c r="F774" s="17"/>
      <c r="G774" s="15"/>
      <c r="I774" s="15"/>
    </row>
    <row r="775">
      <c r="E775" s="15"/>
      <c r="F775" s="17"/>
      <c r="G775" s="15"/>
      <c r="I775" s="15"/>
    </row>
    <row r="776">
      <c r="E776" s="15"/>
      <c r="F776" s="17"/>
      <c r="G776" s="15"/>
      <c r="I776" s="15"/>
    </row>
    <row r="777">
      <c r="E777" s="15"/>
      <c r="F777" s="17"/>
      <c r="G777" s="15"/>
      <c r="I777" s="15"/>
    </row>
    <row r="778">
      <c r="E778" s="15"/>
      <c r="F778" s="17"/>
      <c r="G778" s="15"/>
      <c r="I778" s="15"/>
    </row>
    <row r="779">
      <c r="E779" s="15"/>
      <c r="F779" s="17"/>
      <c r="G779" s="15"/>
      <c r="I779" s="15"/>
    </row>
    <row r="780">
      <c r="E780" s="15"/>
      <c r="F780" s="17"/>
      <c r="G780" s="15"/>
      <c r="I780" s="15"/>
    </row>
    <row r="781">
      <c r="E781" s="15"/>
      <c r="F781" s="17"/>
      <c r="G781" s="15"/>
      <c r="I781" s="15"/>
    </row>
    <row r="782">
      <c r="E782" s="15"/>
      <c r="F782" s="17"/>
      <c r="G782" s="15"/>
      <c r="I782" s="15"/>
    </row>
    <row r="783">
      <c r="E783" s="15"/>
      <c r="F783" s="17"/>
      <c r="G783" s="15"/>
      <c r="I783" s="15"/>
    </row>
    <row r="784">
      <c r="E784" s="15"/>
      <c r="F784" s="17"/>
      <c r="G784" s="15"/>
      <c r="I784" s="15"/>
    </row>
    <row r="785">
      <c r="E785" s="15"/>
      <c r="F785" s="17"/>
      <c r="G785" s="15"/>
      <c r="I785" s="15"/>
    </row>
    <row r="786">
      <c r="E786" s="15"/>
      <c r="F786" s="17"/>
      <c r="G786" s="15"/>
      <c r="I786" s="15"/>
    </row>
    <row r="787">
      <c r="E787" s="15"/>
      <c r="F787" s="17"/>
      <c r="G787" s="15"/>
      <c r="I787" s="15"/>
    </row>
    <row r="788">
      <c r="E788" s="15"/>
      <c r="F788" s="17"/>
      <c r="G788" s="15"/>
      <c r="I788" s="15"/>
    </row>
    <row r="789">
      <c r="E789" s="15"/>
      <c r="F789" s="17"/>
      <c r="G789" s="15"/>
      <c r="I789" s="15"/>
    </row>
    <row r="790">
      <c r="E790" s="15"/>
      <c r="F790" s="17"/>
      <c r="G790" s="15"/>
      <c r="I790" s="15"/>
    </row>
    <row r="791">
      <c r="E791" s="15"/>
      <c r="F791" s="17"/>
      <c r="G791" s="15"/>
      <c r="I791" s="15"/>
    </row>
    <row r="792">
      <c r="E792" s="15"/>
      <c r="F792" s="17"/>
      <c r="G792" s="15"/>
      <c r="I792" s="15"/>
    </row>
    <row r="793">
      <c r="E793" s="15"/>
      <c r="F793" s="17"/>
      <c r="G793" s="15"/>
      <c r="I793" s="15"/>
    </row>
    <row r="794">
      <c r="E794" s="15"/>
      <c r="F794" s="17"/>
      <c r="G794" s="15"/>
      <c r="I794" s="15"/>
    </row>
    <row r="795">
      <c r="E795" s="15"/>
      <c r="F795" s="17"/>
      <c r="G795" s="15"/>
      <c r="I795" s="15"/>
    </row>
    <row r="796">
      <c r="E796" s="15"/>
      <c r="F796" s="17"/>
      <c r="G796" s="15"/>
      <c r="I796" s="15"/>
    </row>
    <row r="797">
      <c r="E797" s="15"/>
      <c r="F797" s="17"/>
      <c r="G797" s="15"/>
      <c r="I797" s="15"/>
    </row>
    <row r="798">
      <c r="E798" s="15"/>
      <c r="F798" s="17"/>
      <c r="G798" s="15"/>
      <c r="I798" s="15"/>
    </row>
    <row r="799">
      <c r="E799" s="15"/>
      <c r="F799" s="17"/>
      <c r="G799" s="15"/>
      <c r="I799" s="15"/>
    </row>
    <row r="800">
      <c r="E800" s="15"/>
      <c r="F800" s="17"/>
      <c r="G800" s="15"/>
      <c r="I800" s="15"/>
    </row>
    <row r="801">
      <c r="E801" s="15"/>
      <c r="F801" s="17"/>
      <c r="G801" s="15"/>
      <c r="I801" s="15"/>
    </row>
    <row r="802">
      <c r="E802" s="15"/>
      <c r="F802" s="17"/>
      <c r="G802" s="15"/>
      <c r="I802" s="15"/>
    </row>
    <row r="803">
      <c r="E803" s="15"/>
      <c r="F803" s="17"/>
      <c r="G803" s="15"/>
      <c r="I803" s="15"/>
    </row>
    <row r="804">
      <c r="E804" s="15"/>
      <c r="F804" s="17"/>
      <c r="G804" s="15"/>
      <c r="I804" s="15"/>
    </row>
    <row r="805">
      <c r="E805" s="15"/>
      <c r="F805" s="17"/>
      <c r="G805" s="15"/>
      <c r="I805" s="15"/>
    </row>
    <row r="806">
      <c r="E806" s="15"/>
      <c r="F806" s="17"/>
      <c r="G806" s="15"/>
      <c r="I806" s="15"/>
    </row>
    <row r="807">
      <c r="E807" s="15"/>
      <c r="F807" s="17"/>
      <c r="G807" s="15"/>
      <c r="I807" s="15"/>
    </row>
    <row r="808">
      <c r="E808" s="15"/>
      <c r="F808" s="17"/>
      <c r="G808" s="15"/>
      <c r="I808" s="15"/>
    </row>
    <row r="809">
      <c r="E809" s="15"/>
      <c r="F809" s="17"/>
      <c r="G809" s="15"/>
      <c r="I809" s="15"/>
    </row>
    <row r="810">
      <c r="E810" s="15"/>
      <c r="F810" s="17"/>
      <c r="G810" s="15"/>
      <c r="I810" s="15"/>
    </row>
    <row r="811">
      <c r="E811" s="15"/>
      <c r="F811" s="17"/>
      <c r="G811" s="15"/>
      <c r="I811" s="15"/>
    </row>
    <row r="812">
      <c r="E812" s="15"/>
      <c r="F812" s="17"/>
      <c r="G812" s="15"/>
      <c r="I812" s="15"/>
    </row>
    <row r="813">
      <c r="E813" s="15"/>
      <c r="F813" s="17"/>
      <c r="G813" s="15"/>
      <c r="I813" s="15"/>
    </row>
    <row r="814">
      <c r="E814" s="15"/>
      <c r="F814" s="17"/>
      <c r="G814" s="15"/>
      <c r="I814" s="15"/>
    </row>
    <row r="815">
      <c r="E815" s="15"/>
      <c r="F815" s="17"/>
      <c r="G815" s="15"/>
      <c r="I815" s="15"/>
    </row>
    <row r="816">
      <c r="E816" s="15"/>
      <c r="F816" s="17"/>
      <c r="G816" s="15"/>
      <c r="I816" s="15"/>
    </row>
    <row r="817">
      <c r="E817" s="15"/>
      <c r="F817" s="17"/>
      <c r="G817" s="15"/>
      <c r="I817" s="15"/>
    </row>
    <row r="818">
      <c r="E818" s="15"/>
      <c r="F818" s="17"/>
      <c r="G818" s="15"/>
      <c r="I818" s="15"/>
    </row>
    <row r="819">
      <c r="E819" s="15"/>
      <c r="F819" s="17"/>
      <c r="G819" s="15"/>
      <c r="I819" s="15"/>
    </row>
    <row r="820">
      <c r="E820" s="15"/>
      <c r="F820" s="17"/>
      <c r="G820" s="15"/>
      <c r="I820" s="15"/>
    </row>
    <row r="821">
      <c r="E821" s="15"/>
      <c r="F821" s="17"/>
      <c r="G821" s="15"/>
      <c r="I821" s="15"/>
    </row>
    <row r="822">
      <c r="E822" s="15"/>
      <c r="F822" s="17"/>
      <c r="G822" s="15"/>
      <c r="I822" s="15"/>
    </row>
    <row r="823">
      <c r="E823" s="15"/>
      <c r="F823" s="17"/>
      <c r="G823" s="15"/>
      <c r="I823" s="15"/>
    </row>
    <row r="824">
      <c r="E824" s="15"/>
      <c r="F824" s="17"/>
      <c r="G824" s="15"/>
      <c r="I824" s="15"/>
    </row>
    <row r="825">
      <c r="E825" s="15"/>
      <c r="F825" s="17"/>
      <c r="G825" s="15"/>
      <c r="I825" s="15"/>
    </row>
    <row r="826">
      <c r="E826" s="15"/>
      <c r="F826" s="17"/>
      <c r="G826" s="15"/>
      <c r="I826" s="15"/>
    </row>
    <row r="827">
      <c r="E827" s="15"/>
      <c r="F827" s="17"/>
      <c r="G827" s="15"/>
      <c r="I827" s="15"/>
    </row>
    <row r="828">
      <c r="E828" s="15"/>
      <c r="F828" s="17"/>
      <c r="G828" s="15"/>
      <c r="I828" s="15"/>
    </row>
    <row r="829">
      <c r="E829" s="15"/>
      <c r="F829" s="17"/>
      <c r="G829" s="15"/>
      <c r="I829" s="15"/>
    </row>
    <row r="830">
      <c r="E830" s="15"/>
      <c r="F830" s="17"/>
      <c r="G830" s="15"/>
      <c r="I830" s="15"/>
    </row>
    <row r="831">
      <c r="E831" s="15"/>
      <c r="F831" s="17"/>
      <c r="G831" s="15"/>
      <c r="I831" s="15"/>
    </row>
    <row r="832">
      <c r="E832" s="15"/>
      <c r="F832" s="17"/>
      <c r="G832" s="15"/>
      <c r="I832" s="15"/>
    </row>
    <row r="833">
      <c r="E833" s="15"/>
      <c r="F833" s="17"/>
      <c r="G833" s="15"/>
      <c r="I833" s="15"/>
    </row>
    <row r="834">
      <c r="E834" s="15"/>
      <c r="F834" s="17"/>
      <c r="G834" s="15"/>
      <c r="I834" s="15"/>
    </row>
    <row r="835">
      <c r="E835" s="15"/>
      <c r="F835" s="17"/>
      <c r="G835" s="15"/>
      <c r="I835" s="15"/>
    </row>
    <row r="836">
      <c r="E836" s="15"/>
      <c r="F836" s="17"/>
      <c r="G836" s="15"/>
      <c r="I836" s="15"/>
    </row>
    <row r="837">
      <c r="E837" s="15"/>
      <c r="F837" s="17"/>
      <c r="G837" s="15"/>
      <c r="I837" s="15"/>
    </row>
    <row r="838">
      <c r="E838" s="15"/>
      <c r="F838" s="17"/>
      <c r="G838" s="15"/>
      <c r="I838" s="15"/>
    </row>
    <row r="839">
      <c r="E839" s="15"/>
      <c r="F839" s="17"/>
      <c r="G839" s="15"/>
      <c r="I839" s="15"/>
    </row>
    <row r="840">
      <c r="E840" s="15"/>
      <c r="F840" s="17"/>
      <c r="G840" s="15"/>
      <c r="I840" s="15"/>
    </row>
    <row r="841">
      <c r="E841" s="15"/>
      <c r="F841" s="17"/>
      <c r="G841" s="15"/>
      <c r="I841" s="15"/>
    </row>
    <row r="842">
      <c r="E842" s="15"/>
      <c r="F842" s="17"/>
      <c r="G842" s="15"/>
      <c r="I842" s="15"/>
    </row>
    <row r="843">
      <c r="E843" s="15"/>
      <c r="F843" s="17"/>
      <c r="G843" s="15"/>
      <c r="I843" s="15"/>
    </row>
    <row r="844">
      <c r="E844" s="15"/>
      <c r="F844" s="17"/>
      <c r="G844" s="15"/>
      <c r="I844" s="15"/>
    </row>
    <row r="845">
      <c r="E845" s="15"/>
      <c r="F845" s="17"/>
      <c r="G845" s="15"/>
      <c r="I845" s="15"/>
    </row>
    <row r="846">
      <c r="E846" s="15"/>
      <c r="F846" s="17"/>
      <c r="G846" s="15"/>
      <c r="I846" s="15"/>
    </row>
    <row r="847">
      <c r="E847" s="15"/>
      <c r="F847" s="17"/>
      <c r="G847" s="15"/>
      <c r="I847" s="15"/>
    </row>
    <row r="848">
      <c r="E848" s="15"/>
      <c r="F848" s="17"/>
      <c r="G848" s="15"/>
      <c r="I848" s="15"/>
    </row>
    <row r="849">
      <c r="E849" s="15"/>
      <c r="F849" s="17"/>
      <c r="G849" s="15"/>
      <c r="I849" s="15"/>
    </row>
    <row r="850">
      <c r="E850" s="15"/>
      <c r="F850" s="17"/>
      <c r="G850" s="15"/>
      <c r="I850" s="15"/>
    </row>
    <row r="851">
      <c r="E851" s="15"/>
      <c r="F851" s="17"/>
      <c r="G851" s="15"/>
      <c r="I851" s="15"/>
    </row>
    <row r="852">
      <c r="E852" s="15"/>
      <c r="F852" s="17"/>
      <c r="G852" s="15"/>
      <c r="I852" s="15"/>
    </row>
    <row r="853">
      <c r="E853" s="15"/>
      <c r="F853" s="17"/>
      <c r="G853" s="15"/>
      <c r="I853" s="15"/>
    </row>
    <row r="854">
      <c r="E854" s="15"/>
      <c r="F854" s="17"/>
      <c r="G854" s="15"/>
      <c r="I854" s="15"/>
    </row>
    <row r="855">
      <c r="E855" s="15"/>
      <c r="F855" s="17"/>
      <c r="G855" s="15"/>
      <c r="I855" s="15"/>
    </row>
    <row r="856">
      <c r="E856" s="15"/>
      <c r="F856" s="17"/>
      <c r="G856" s="15"/>
      <c r="I856" s="15"/>
    </row>
    <row r="857">
      <c r="E857" s="15"/>
      <c r="F857" s="17"/>
      <c r="G857" s="15"/>
      <c r="I857" s="15"/>
    </row>
    <row r="858">
      <c r="E858" s="15"/>
      <c r="F858" s="17"/>
      <c r="G858" s="15"/>
      <c r="I858" s="15"/>
    </row>
    <row r="859">
      <c r="E859" s="15"/>
      <c r="F859" s="17"/>
      <c r="G859" s="15"/>
      <c r="I859" s="15"/>
    </row>
    <row r="860">
      <c r="E860" s="15"/>
      <c r="F860" s="17"/>
      <c r="G860" s="15"/>
      <c r="I860" s="15"/>
    </row>
    <row r="861">
      <c r="E861" s="15"/>
      <c r="F861" s="17"/>
      <c r="G861" s="15"/>
      <c r="I861" s="15"/>
    </row>
    <row r="862">
      <c r="E862" s="15"/>
      <c r="F862" s="17"/>
      <c r="G862" s="15"/>
      <c r="I862" s="15"/>
    </row>
    <row r="863">
      <c r="E863" s="15"/>
      <c r="F863" s="17"/>
      <c r="G863" s="15"/>
      <c r="I863" s="15"/>
    </row>
    <row r="864">
      <c r="E864" s="15"/>
      <c r="F864" s="17"/>
      <c r="G864" s="15"/>
      <c r="I864" s="15"/>
    </row>
    <row r="865">
      <c r="E865" s="15"/>
      <c r="F865" s="17"/>
      <c r="G865" s="15"/>
      <c r="I865" s="15"/>
    </row>
    <row r="866">
      <c r="E866" s="15"/>
      <c r="F866" s="17"/>
      <c r="G866" s="15"/>
      <c r="I866" s="15"/>
    </row>
    <row r="867">
      <c r="E867" s="15"/>
      <c r="F867" s="17"/>
      <c r="G867" s="15"/>
      <c r="I867" s="15"/>
    </row>
    <row r="868">
      <c r="E868" s="15"/>
      <c r="F868" s="17"/>
      <c r="G868" s="15"/>
      <c r="I868" s="15"/>
    </row>
    <row r="869">
      <c r="E869" s="15"/>
      <c r="F869" s="17"/>
      <c r="G869" s="15"/>
      <c r="I869" s="15"/>
    </row>
    <row r="870">
      <c r="E870" s="15"/>
      <c r="F870" s="17"/>
      <c r="G870" s="15"/>
      <c r="I870" s="15"/>
    </row>
    <row r="871">
      <c r="E871" s="15"/>
      <c r="F871" s="17"/>
      <c r="G871" s="15"/>
      <c r="I871" s="15"/>
    </row>
    <row r="872">
      <c r="E872" s="15"/>
      <c r="F872" s="17"/>
      <c r="G872" s="15"/>
      <c r="I872" s="15"/>
    </row>
    <row r="873">
      <c r="E873" s="15"/>
      <c r="F873" s="17"/>
      <c r="G873" s="15"/>
      <c r="I873" s="15"/>
    </row>
    <row r="874">
      <c r="E874" s="15"/>
      <c r="F874" s="17"/>
      <c r="G874" s="15"/>
      <c r="I874" s="15"/>
    </row>
    <row r="875">
      <c r="E875" s="15"/>
      <c r="F875" s="17"/>
      <c r="G875" s="15"/>
      <c r="I875" s="15"/>
    </row>
    <row r="876">
      <c r="E876" s="15"/>
      <c r="F876" s="17"/>
      <c r="G876" s="15"/>
      <c r="I876" s="15"/>
    </row>
    <row r="877">
      <c r="E877" s="15"/>
      <c r="F877" s="17"/>
      <c r="G877" s="15"/>
      <c r="I877" s="15"/>
    </row>
    <row r="878">
      <c r="E878" s="15"/>
      <c r="F878" s="17"/>
      <c r="G878" s="15"/>
      <c r="I878" s="15"/>
    </row>
    <row r="879">
      <c r="E879" s="15"/>
      <c r="F879" s="17"/>
      <c r="G879" s="15"/>
      <c r="I879" s="15"/>
    </row>
    <row r="880">
      <c r="E880" s="15"/>
      <c r="F880" s="17"/>
      <c r="G880" s="15"/>
      <c r="I880" s="15"/>
    </row>
    <row r="881">
      <c r="E881" s="15"/>
      <c r="F881" s="17"/>
      <c r="G881" s="15"/>
      <c r="I881" s="15"/>
    </row>
    <row r="882">
      <c r="E882" s="15"/>
      <c r="F882" s="17"/>
      <c r="G882" s="15"/>
      <c r="I882" s="15"/>
    </row>
    <row r="883">
      <c r="E883" s="15"/>
      <c r="F883" s="17"/>
      <c r="G883" s="15"/>
      <c r="I883" s="15"/>
    </row>
    <row r="884">
      <c r="E884" s="15"/>
      <c r="F884" s="17"/>
      <c r="G884" s="15"/>
      <c r="I884" s="15"/>
    </row>
    <row r="885">
      <c r="E885" s="15"/>
      <c r="F885" s="17"/>
      <c r="G885" s="15"/>
      <c r="I885" s="15"/>
    </row>
    <row r="886">
      <c r="E886" s="15"/>
      <c r="F886" s="17"/>
      <c r="G886" s="15"/>
      <c r="I886" s="15"/>
    </row>
    <row r="887">
      <c r="E887" s="15"/>
      <c r="F887" s="17"/>
      <c r="G887" s="15"/>
      <c r="I887" s="15"/>
    </row>
    <row r="888">
      <c r="E888" s="15"/>
      <c r="F888" s="17"/>
      <c r="G888" s="15"/>
      <c r="I888" s="15"/>
    </row>
    <row r="889">
      <c r="E889" s="15"/>
      <c r="F889" s="17"/>
      <c r="G889" s="15"/>
      <c r="I889" s="15"/>
    </row>
    <row r="890">
      <c r="E890" s="15"/>
      <c r="F890" s="17"/>
      <c r="G890" s="15"/>
      <c r="I890" s="15"/>
    </row>
    <row r="891">
      <c r="E891" s="15"/>
      <c r="F891" s="17"/>
      <c r="G891" s="15"/>
      <c r="I891" s="15"/>
    </row>
    <row r="892">
      <c r="E892" s="15"/>
      <c r="F892" s="17"/>
      <c r="G892" s="15"/>
      <c r="I892" s="15"/>
    </row>
    <row r="893">
      <c r="E893" s="15"/>
      <c r="F893" s="17"/>
      <c r="G893" s="15"/>
      <c r="I893" s="15"/>
    </row>
    <row r="894">
      <c r="E894" s="15"/>
      <c r="F894" s="17"/>
      <c r="G894" s="15"/>
      <c r="I894" s="15"/>
    </row>
    <row r="895">
      <c r="E895" s="15"/>
      <c r="F895" s="17"/>
      <c r="G895" s="15"/>
      <c r="I895" s="15"/>
    </row>
    <row r="896">
      <c r="E896" s="15"/>
      <c r="F896" s="17"/>
      <c r="G896" s="15"/>
      <c r="I896" s="15"/>
    </row>
    <row r="897">
      <c r="E897" s="15"/>
      <c r="F897" s="17"/>
      <c r="G897" s="15"/>
      <c r="I897" s="15"/>
    </row>
    <row r="898">
      <c r="E898" s="15"/>
      <c r="F898" s="17"/>
      <c r="G898" s="15"/>
      <c r="I898" s="15"/>
    </row>
    <row r="899">
      <c r="E899" s="15"/>
      <c r="F899" s="17"/>
      <c r="G899" s="15"/>
      <c r="I899" s="15"/>
    </row>
    <row r="900">
      <c r="E900" s="15"/>
      <c r="F900" s="17"/>
      <c r="G900" s="15"/>
      <c r="I900" s="15"/>
    </row>
    <row r="901">
      <c r="E901" s="15"/>
      <c r="F901" s="17"/>
      <c r="G901" s="15"/>
      <c r="I901" s="15"/>
    </row>
    <row r="902">
      <c r="E902" s="15"/>
      <c r="F902" s="17"/>
      <c r="G902" s="15"/>
      <c r="I902" s="15"/>
    </row>
    <row r="903">
      <c r="E903" s="15"/>
      <c r="F903" s="17"/>
      <c r="G903" s="15"/>
      <c r="I903" s="15"/>
    </row>
    <row r="904">
      <c r="E904" s="15"/>
      <c r="F904" s="17"/>
      <c r="G904" s="15"/>
      <c r="I904" s="15"/>
    </row>
    <row r="905">
      <c r="E905" s="15"/>
      <c r="F905" s="17"/>
      <c r="G905" s="15"/>
      <c r="I905" s="15"/>
    </row>
    <row r="906">
      <c r="E906" s="15"/>
      <c r="F906" s="17"/>
      <c r="G906" s="15"/>
      <c r="I906" s="15"/>
    </row>
    <row r="907">
      <c r="E907" s="15"/>
      <c r="F907" s="17"/>
      <c r="G907" s="15"/>
      <c r="I907" s="15"/>
    </row>
    <row r="908">
      <c r="E908" s="15"/>
      <c r="F908" s="17"/>
      <c r="G908" s="15"/>
      <c r="I908" s="15"/>
    </row>
    <row r="909">
      <c r="E909" s="15"/>
      <c r="F909" s="17"/>
      <c r="G909" s="15"/>
      <c r="I909" s="15"/>
    </row>
    <row r="910">
      <c r="E910" s="15"/>
      <c r="F910" s="17"/>
      <c r="G910" s="15"/>
      <c r="I910" s="15"/>
    </row>
    <row r="911">
      <c r="E911" s="15"/>
      <c r="F911" s="17"/>
      <c r="G911" s="15"/>
      <c r="I911" s="15"/>
    </row>
    <row r="912">
      <c r="E912" s="15"/>
      <c r="F912" s="17"/>
      <c r="G912" s="15"/>
      <c r="I912" s="15"/>
    </row>
    <row r="913">
      <c r="E913" s="15"/>
      <c r="F913" s="17"/>
      <c r="G913" s="15"/>
      <c r="I913" s="15"/>
    </row>
    <row r="914">
      <c r="E914" s="15"/>
      <c r="F914" s="17"/>
      <c r="G914" s="15"/>
      <c r="I914" s="15"/>
    </row>
    <row r="915">
      <c r="E915" s="15"/>
      <c r="F915" s="17"/>
      <c r="G915" s="15"/>
      <c r="I915" s="15"/>
    </row>
    <row r="916">
      <c r="E916" s="15"/>
      <c r="F916" s="17"/>
      <c r="G916" s="15"/>
      <c r="I916" s="15"/>
    </row>
    <row r="917">
      <c r="E917" s="15"/>
      <c r="F917" s="17"/>
      <c r="G917" s="15"/>
      <c r="I917" s="15"/>
    </row>
    <row r="918">
      <c r="E918" s="15"/>
      <c r="F918" s="17"/>
      <c r="G918" s="15"/>
      <c r="I918" s="15"/>
    </row>
    <row r="919">
      <c r="E919" s="15"/>
      <c r="F919" s="17"/>
      <c r="G919" s="15"/>
      <c r="I919" s="15"/>
    </row>
    <row r="920">
      <c r="E920" s="15"/>
      <c r="F920" s="17"/>
      <c r="G920" s="15"/>
      <c r="I920" s="15"/>
    </row>
    <row r="921">
      <c r="E921" s="15"/>
      <c r="F921" s="17"/>
      <c r="G921" s="15"/>
      <c r="I921" s="15"/>
    </row>
    <row r="922">
      <c r="E922" s="15"/>
      <c r="F922" s="17"/>
      <c r="G922" s="15"/>
      <c r="I922" s="15"/>
    </row>
    <row r="923">
      <c r="E923" s="15"/>
      <c r="F923" s="17"/>
      <c r="G923" s="15"/>
      <c r="I923" s="15"/>
    </row>
    <row r="924">
      <c r="E924" s="15"/>
      <c r="F924" s="17"/>
      <c r="G924" s="15"/>
      <c r="I924" s="15"/>
    </row>
    <row r="925">
      <c r="E925" s="15"/>
      <c r="F925" s="17"/>
      <c r="G925" s="15"/>
      <c r="I925" s="15"/>
    </row>
    <row r="926">
      <c r="E926" s="15"/>
      <c r="F926" s="17"/>
      <c r="G926" s="15"/>
      <c r="I926" s="15"/>
    </row>
    <row r="927">
      <c r="E927" s="15"/>
      <c r="F927" s="17"/>
      <c r="G927" s="15"/>
      <c r="I927" s="15"/>
    </row>
    <row r="928">
      <c r="E928" s="15"/>
      <c r="F928" s="17"/>
      <c r="G928" s="15"/>
      <c r="I928" s="15"/>
    </row>
    <row r="929">
      <c r="E929" s="15"/>
      <c r="F929" s="17"/>
      <c r="G929" s="15"/>
      <c r="I929" s="15"/>
    </row>
    <row r="930">
      <c r="E930" s="15"/>
      <c r="F930" s="17"/>
      <c r="G930" s="15"/>
      <c r="I930" s="15"/>
    </row>
    <row r="931">
      <c r="E931" s="15"/>
      <c r="F931" s="17"/>
      <c r="G931" s="15"/>
      <c r="I931" s="15"/>
    </row>
    <row r="932">
      <c r="E932" s="15"/>
      <c r="F932" s="17"/>
      <c r="G932" s="15"/>
      <c r="I932" s="15"/>
    </row>
    <row r="933">
      <c r="E933" s="15"/>
      <c r="F933" s="17"/>
      <c r="G933" s="15"/>
      <c r="I933" s="15"/>
    </row>
    <row r="934">
      <c r="E934" s="15"/>
      <c r="F934" s="17"/>
      <c r="G934" s="15"/>
      <c r="I934" s="15"/>
    </row>
    <row r="935">
      <c r="E935" s="15"/>
      <c r="F935" s="17"/>
      <c r="G935" s="15"/>
      <c r="I935" s="15"/>
    </row>
    <row r="936">
      <c r="E936" s="15"/>
      <c r="F936" s="17"/>
      <c r="G936" s="15"/>
      <c r="I936" s="15"/>
    </row>
    <row r="937">
      <c r="E937" s="15"/>
      <c r="F937" s="17"/>
      <c r="G937" s="15"/>
      <c r="I937" s="15"/>
    </row>
    <row r="938">
      <c r="E938" s="15"/>
      <c r="F938" s="17"/>
      <c r="G938" s="15"/>
      <c r="I938" s="15"/>
    </row>
    <row r="939">
      <c r="E939" s="15"/>
      <c r="F939" s="17"/>
      <c r="G939" s="15"/>
      <c r="I939" s="15"/>
    </row>
    <row r="940">
      <c r="E940" s="15"/>
      <c r="F940" s="17"/>
      <c r="G940" s="15"/>
      <c r="I940" s="15"/>
    </row>
    <row r="941">
      <c r="E941" s="15"/>
      <c r="F941" s="17"/>
      <c r="G941" s="15"/>
      <c r="I941" s="15"/>
    </row>
    <row r="942">
      <c r="E942" s="15"/>
      <c r="F942" s="17"/>
      <c r="G942" s="15"/>
      <c r="I942" s="15"/>
    </row>
    <row r="943">
      <c r="E943" s="15"/>
      <c r="F943" s="17"/>
      <c r="G943" s="15"/>
      <c r="I943" s="15"/>
    </row>
    <row r="944">
      <c r="E944" s="15"/>
      <c r="F944" s="17"/>
      <c r="G944" s="15"/>
      <c r="I944" s="15"/>
    </row>
    <row r="945">
      <c r="E945" s="15"/>
      <c r="F945" s="17"/>
      <c r="G945" s="15"/>
      <c r="I945" s="15"/>
    </row>
    <row r="946">
      <c r="E946" s="15"/>
      <c r="F946" s="17"/>
      <c r="G946" s="15"/>
      <c r="I946" s="15"/>
    </row>
    <row r="947">
      <c r="E947" s="15"/>
      <c r="F947" s="17"/>
      <c r="G947" s="15"/>
      <c r="I947" s="15"/>
    </row>
    <row r="948">
      <c r="E948" s="15"/>
      <c r="F948" s="17"/>
      <c r="G948" s="15"/>
      <c r="I948" s="15"/>
    </row>
    <row r="949">
      <c r="E949" s="15"/>
      <c r="F949" s="17"/>
      <c r="G949" s="15"/>
      <c r="I949" s="15"/>
    </row>
    <row r="950">
      <c r="E950" s="15"/>
      <c r="F950" s="17"/>
      <c r="G950" s="15"/>
      <c r="I950" s="15"/>
    </row>
    <row r="951">
      <c r="E951" s="15"/>
      <c r="F951" s="17"/>
      <c r="G951" s="15"/>
      <c r="I951" s="15"/>
    </row>
    <row r="952">
      <c r="E952" s="15"/>
      <c r="F952" s="17"/>
      <c r="G952" s="15"/>
      <c r="I952" s="15"/>
    </row>
    <row r="953">
      <c r="E953" s="15"/>
      <c r="F953" s="17"/>
      <c r="G953" s="15"/>
      <c r="I953" s="15"/>
    </row>
    <row r="954">
      <c r="E954" s="15"/>
      <c r="F954" s="17"/>
      <c r="G954" s="15"/>
      <c r="I954" s="15"/>
    </row>
    <row r="955">
      <c r="E955" s="15"/>
      <c r="F955" s="17"/>
      <c r="G955" s="15"/>
      <c r="I955" s="15"/>
    </row>
    <row r="956">
      <c r="E956" s="15"/>
      <c r="F956" s="17"/>
      <c r="G956" s="15"/>
      <c r="I956" s="15"/>
    </row>
    <row r="957">
      <c r="E957" s="15"/>
      <c r="F957" s="17"/>
      <c r="G957" s="15"/>
      <c r="I957" s="15"/>
    </row>
    <row r="958">
      <c r="E958" s="15"/>
      <c r="F958" s="17"/>
      <c r="G958" s="15"/>
      <c r="I958" s="15"/>
    </row>
    <row r="959">
      <c r="E959" s="15"/>
      <c r="F959" s="17"/>
      <c r="G959" s="15"/>
      <c r="I959" s="15"/>
    </row>
    <row r="960">
      <c r="E960" s="15"/>
      <c r="F960" s="17"/>
      <c r="G960" s="15"/>
      <c r="I960" s="15"/>
    </row>
    <row r="961">
      <c r="E961" s="15"/>
      <c r="F961" s="17"/>
      <c r="G961" s="15"/>
      <c r="I961" s="15"/>
    </row>
    <row r="962">
      <c r="E962" s="15"/>
      <c r="F962" s="17"/>
      <c r="G962" s="15"/>
      <c r="I962" s="15"/>
    </row>
    <row r="963">
      <c r="E963" s="15"/>
      <c r="F963" s="17"/>
      <c r="G963" s="15"/>
      <c r="I963" s="15"/>
    </row>
    <row r="964">
      <c r="E964" s="15"/>
      <c r="F964" s="17"/>
      <c r="G964" s="15"/>
      <c r="I964" s="15"/>
    </row>
    <row r="965">
      <c r="E965" s="15"/>
      <c r="F965" s="17"/>
      <c r="G965" s="15"/>
      <c r="I965" s="15"/>
    </row>
    <row r="966">
      <c r="E966" s="15"/>
      <c r="F966" s="17"/>
      <c r="G966" s="15"/>
      <c r="I966" s="15"/>
    </row>
    <row r="967">
      <c r="E967" s="15"/>
      <c r="F967" s="17"/>
      <c r="G967" s="15"/>
      <c r="I967" s="15"/>
    </row>
    <row r="968">
      <c r="E968" s="15"/>
      <c r="F968" s="17"/>
      <c r="G968" s="15"/>
      <c r="I968" s="15"/>
    </row>
    <row r="969">
      <c r="E969" s="15"/>
      <c r="F969" s="17"/>
      <c r="G969" s="15"/>
      <c r="I969" s="15"/>
    </row>
    <row r="970">
      <c r="E970" s="15"/>
      <c r="F970" s="17"/>
      <c r="G970" s="15"/>
      <c r="I970" s="15"/>
    </row>
    <row r="971">
      <c r="E971" s="15"/>
      <c r="F971" s="17"/>
      <c r="G971" s="15"/>
      <c r="I971" s="15"/>
    </row>
    <row r="972">
      <c r="E972" s="15"/>
      <c r="F972" s="17"/>
      <c r="G972" s="15"/>
      <c r="I972" s="15"/>
    </row>
    <row r="973">
      <c r="E973" s="15"/>
      <c r="F973" s="17"/>
      <c r="G973" s="15"/>
      <c r="I973" s="15"/>
    </row>
    <row r="974">
      <c r="E974" s="15"/>
      <c r="F974" s="17"/>
      <c r="G974" s="15"/>
      <c r="I974" s="15"/>
    </row>
    <row r="975">
      <c r="E975" s="15"/>
      <c r="F975" s="17"/>
      <c r="G975" s="15"/>
      <c r="I975" s="15"/>
    </row>
    <row r="976">
      <c r="E976" s="15"/>
      <c r="F976" s="17"/>
      <c r="G976" s="15"/>
      <c r="I976" s="15"/>
    </row>
    <row r="977">
      <c r="E977" s="15"/>
      <c r="F977" s="17"/>
      <c r="G977" s="15"/>
      <c r="I977" s="15"/>
    </row>
    <row r="978">
      <c r="E978" s="15"/>
      <c r="F978" s="17"/>
      <c r="G978" s="15"/>
      <c r="I978" s="15"/>
    </row>
    <row r="979">
      <c r="E979" s="15"/>
      <c r="F979" s="17"/>
      <c r="G979" s="15"/>
      <c r="I979" s="15"/>
    </row>
    <row r="980">
      <c r="E980" s="15"/>
      <c r="F980" s="17"/>
      <c r="G980" s="15"/>
      <c r="I980" s="15"/>
    </row>
    <row r="981">
      <c r="E981" s="15"/>
      <c r="F981" s="17"/>
      <c r="G981" s="15"/>
      <c r="I981" s="15"/>
    </row>
    <row r="982">
      <c r="E982" s="15"/>
      <c r="F982" s="17"/>
      <c r="G982" s="15"/>
      <c r="I982" s="15"/>
    </row>
    <row r="983">
      <c r="E983" s="15"/>
      <c r="F983" s="17"/>
      <c r="G983" s="15"/>
      <c r="I983" s="15"/>
    </row>
    <row r="984">
      <c r="E984" s="15"/>
      <c r="F984" s="17"/>
      <c r="G984" s="15"/>
      <c r="I984" s="15"/>
    </row>
    <row r="985">
      <c r="E985" s="15"/>
      <c r="F985" s="17"/>
      <c r="G985" s="15"/>
      <c r="I985" s="15"/>
    </row>
    <row r="986">
      <c r="E986" s="15"/>
      <c r="F986" s="17"/>
      <c r="G986" s="15"/>
      <c r="I986" s="15"/>
    </row>
    <row r="987">
      <c r="E987" s="15"/>
      <c r="F987" s="17"/>
      <c r="G987" s="15"/>
      <c r="I987" s="15"/>
    </row>
    <row r="988">
      <c r="E988" s="15"/>
      <c r="F988" s="17"/>
      <c r="G988" s="15"/>
      <c r="I988" s="15"/>
    </row>
    <row r="989">
      <c r="E989" s="15"/>
      <c r="F989" s="17"/>
      <c r="G989" s="15"/>
      <c r="I989" s="15"/>
    </row>
    <row r="990">
      <c r="E990" s="15"/>
      <c r="F990" s="17"/>
      <c r="G990" s="15"/>
      <c r="I990" s="15"/>
    </row>
    <row r="991">
      <c r="E991" s="15"/>
      <c r="F991" s="17"/>
      <c r="G991" s="15"/>
      <c r="I991" s="15"/>
    </row>
    <row r="992">
      <c r="E992" s="15"/>
      <c r="F992" s="17"/>
      <c r="G992" s="15"/>
      <c r="I992" s="15"/>
    </row>
    <row r="993">
      <c r="E993" s="15"/>
      <c r="F993" s="17"/>
      <c r="G993" s="15"/>
      <c r="I993" s="15"/>
    </row>
    <row r="994">
      <c r="E994" s="15"/>
      <c r="F994" s="17"/>
      <c r="G994" s="15"/>
      <c r="I994" s="15"/>
    </row>
    <row r="995">
      <c r="E995" s="15"/>
      <c r="F995" s="17"/>
      <c r="G995" s="15"/>
      <c r="I995" s="15"/>
    </row>
    <row r="996">
      <c r="E996" s="15"/>
      <c r="F996" s="17"/>
      <c r="G996" s="15"/>
      <c r="I996" s="15"/>
    </row>
    <row r="997">
      <c r="E997" s="15"/>
      <c r="F997" s="17"/>
      <c r="G997" s="15"/>
      <c r="I997" s="15"/>
    </row>
    <row r="998">
      <c r="E998" s="15"/>
      <c r="F998" s="17"/>
      <c r="G998" s="15"/>
      <c r="I998" s="15"/>
    </row>
    <row r="999">
      <c r="E999" s="15"/>
      <c r="F999" s="17"/>
      <c r="G999" s="15"/>
      <c r="I999" s="15"/>
    </row>
    <row r="1000">
      <c r="E1000" s="15"/>
      <c r="F1000" s="17"/>
      <c r="G1000" s="15"/>
      <c r="I1000" s="15"/>
    </row>
  </sheetData>
  <conditionalFormatting sqref="A2:J1000">
    <cfRule type="expression" dxfId="0" priority="1" stopIfTrue="1">
      <formula>$H2=TRUE</formula>
    </cfRule>
  </conditionalFormatting>
  <dataValidations>
    <dataValidation type="list" allowBlank="1" sqref="G2:G1000">
      <formula1>"TOP,SEMITOP,TERZO-SLOT,QUARTO-SLOT,SCOMMESSE,TITOLARI,ALTRI"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2.13"/>
    <col customWidth="1" min="3" max="3" width="11.88"/>
    <col customWidth="1" min="4" max="4" width="8.13"/>
    <col customWidth="1" min="5" max="5" width="4.63"/>
    <col customWidth="1" min="6" max="6" width="8.5"/>
    <col customWidth="1" min="7" max="7" width="25.75"/>
    <col customWidth="1" min="8" max="8" width="13.88"/>
    <col customWidth="1" min="9" max="9" width="14.25"/>
    <col customWidth="1" min="10" max="10" width="4.75"/>
  </cols>
  <sheetData>
    <row r="1">
      <c r="A1" s="31" t="str">
        <f>IFERROR(__xludf.DUMMYFUNCTION("QUERY(LISTONE!A2:I1000, ""SELECT A, B, C, D, E, F, G, H WHERE B = 'A' ORDER BY I ASC, E DESC"", 1)"),"Id")</f>
        <v>Id</v>
      </c>
      <c r="B1" s="31" t="str">
        <f>IFERROR(__xludf.DUMMYFUNCTION("""COMPUTED_VALUE"""),"R")</f>
        <v>R</v>
      </c>
      <c r="C1" s="31" t="str">
        <f>IFERROR(__xludf.DUMMYFUNCTION("""COMPUTED_VALUE"""),"Nome")</f>
        <v>Nome</v>
      </c>
      <c r="D1" s="31" t="str">
        <f>IFERROR(__xludf.DUMMYFUNCTION("""COMPUTED_VALUE"""),"Squadra")</f>
        <v>Squadra</v>
      </c>
      <c r="E1" s="31" t="str">
        <f>IFERROR(__xludf.DUMMYFUNCTION("""COMPUTED_VALUE"""),"FVM")</f>
        <v>FVM</v>
      </c>
      <c r="F1" s="31" t="str">
        <f>IFERROR(__xludf.DUMMYFUNCTION("""COMPUTED_VALUE"""),"% Budget")</f>
        <v>% Budget</v>
      </c>
      <c r="G1" s="33" t="str">
        <f>IFERROR(__xludf.DUMMYFUNCTION("""COMPUTED_VALUE"""),"Fascia")</f>
        <v>Fascia</v>
      </c>
      <c r="H1" s="33" t="str">
        <f>IFERROR(__xludf.DUMMYFUNCTION("""COMPUTED_VALUE"""),"⭐ Preferito")</f>
        <v>⭐ Preferito</v>
      </c>
      <c r="I1" s="33" t="s">
        <v>8</v>
      </c>
      <c r="J1" s="33" t="s">
        <v>9</v>
      </c>
    </row>
    <row r="2">
      <c r="A2" s="11">
        <f>IFERROR(__xludf.DUMMYFUNCTION("""COMPUTED_VALUE"""),5585.0)</f>
        <v>5585</v>
      </c>
      <c r="B2" s="11" t="str">
        <f>IFERROR(__xludf.DUMMYFUNCTION("""COMPUTED_VALUE"""),"A")</f>
        <v>A</v>
      </c>
      <c r="C2" s="13" t="str">
        <f>IFERROR(__xludf.DUMMYFUNCTION("""COMPUTED_VALUE"""),"Malen")</f>
        <v>Malen</v>
      </c>
      <c r="D2" s="11" t="str">
        <f>IFERROR(__xludf.DUMMYFUNCTION("""COMPUTED_VALUE"""),"Roma")</f>
        <v>Roma</v>
      </c>
      <c r="E2" s="15">
        <f>IFERROR(__xludf.DUMMYFUNCTION("""COMPUTED_VALUE"""),240.0)</f>
        <v>240</v>
      </c>
      <c r="F2" s="17">
        <f>IFERROR(__xludf.DUMMYFUNCTION("""COMPUTED_VALUE"""),0.4)</f>
        <v>0.4</v>
      </c>
      <c r="G2" s="15" t="str">
        <f>IFERROR(__xludf.DUMMYFUNCTION("""COMPUTED_VALUE"""),"TOP")</f>
        <v>TOP</v>
      </c>
      <c r="H2" s="11"/>
      <c r="I2" s="15"/>
    </row>
    <row r="3">
      <c r="A3" s="11">
        <f>IFERROR(__xludf.DUMMYFUNCTION("""COMPUTED_VALUE"""),2764.0)</f>
        <v>2764</v>
      </c>
      <c r="B3" s="11" t="str">
        <f>IFERROR(__xludf.DUMMYFUNCTION("""COMPUTED_VALUE"""),"A")</f>
        <v>A</v>
      </c>
      <c r="C3" s="13" t="str">
        <f>IFERROR(__xludf.DUMMYFUNCTION("""COMPUTED_VALUE"""),"Martinez L.")</f>
        <v>Martinez L.</v>
      </c>
      <c r="D3" s="11" t="str">
        <f>IFERROR(__xludf.DUMMYFUNCTION("""COMPUTED_VALUE"""),"Inter")</f>
        <v>Inter</v>
      </c>
      <c r="E3" s="15">
        <f>IFERROR(__xludf.DUMMYFUNCTION("""COMPUTED_VALUE"""),210.0)</f>
        <v>210</v>
      </c>
      <c r="F3" s="17">
        <f>IFERROR(__xludf.DUMMYFUNCTION("""COMPUTED_VALUE"""),0.35)</f>
        <v>0.35</v>
      </c>
      <c r="G3" s="15" t="str">
        <f>IFERROR(__xludf.DUMMYFUNCTION("""COMPUTED_VALUE"""),"TOP")</f>
        <v>TOP</v>
      </c>
      <c r="H3" s="11"/>
      <c r="I3" s="15"/>
    </row>
    <row r="4">
      <c r="A4" s="11">
        <f>IFERROR(__xludf.DUMMYFUNCTION("""COMPUTED_VALUE"""),6052.0)</f>
        <v>6052</v>
      </c>
      <c r="B4" s="11" t="str">
        <f>IFERROR(__xludf.DUMMYFUNCTION("""COMPUTED_VALUE"""),"A")</f>
        <v>A</v>
      </c>
      <c r="C4" s="13" t="str">
        <f>IFERROR(__xludf.DUMMYFUNCTION("""COMPUTED_VALUE"""),"Hojlund")</f>
        <v>Hojlund</v>
      </c>
      <c r="D4" s="11" t="str">
        <f>IFERROR(__xludf.DUMMYFUNCTION("""COMPUTED_VALUE"""),"Napoli")</f>
        <v>Napoli</v>
      </c>
      <c r="E4" s="15">
        <f>IFERROR(__xludf.DUMMYFUNCTION("""COMPUTED_VALUE"""),150.0)</f>
        <v>150</v>
      </c>
      <c r="F4" s="17">
        <f>IFERROR(__xludf.DUMMYFUNCTION("""COMPUTED_VALUE"""),0.25)</f>
        <v>0.25</v>
      </c>
      <c r="G4" s="15" t="str">
        <f>IFERROR(__xludf.DUMMYFUNCTION("""COMPUTED_VALUE"""),"SEMITOP")</f>
        <v>SEMITOP</v>
      </c>
      <c r="H4" s="11"/>
      <c r="I4" s="15"/>
    </row>
    <row r="5">
      <c r="A5" s="11">
        <f>IFERROR(__xludf.DUMMYFUNCTION("""COMPUTED_VALUE"""),4871.0)</f>
        <v>4871</v>
      </c>
      <c r="B5" s="11" t="str">
        <f>IFERROR(__xludf.DUMMYFUNCTION("""COMPUTED_VALUE"""),"A")</f>
        <v>A</v>
      </c>
      <c r="C5" s="13" t="str">
        <f>IFERROR(__xludf.DUMMYFUNCTION("""COMPUTED_VALUE"""),"Thuram")</f>
        <v>Thuram</v>
      </c>
      <c r="D5" s="11" t="str">
        <f>IFERROR(__xludf.DUMMYFUNCTION("""COMPUTED_VALUE"""),"Inter")</f>
        <v>Inter</v>
      </c>
      <c r="E5" s="15">
        <f>IFERROR(__xludf.DUMMYFUNCTION("""COMPUTED_VALUE"""),144.0)</f>
        <v>144</v>
      </c>
      <c r="F5" s="17">
        <f>IFERROR(__xludf.DUMMYFUNCTION("""COMPUTED_VALUE"""),0.24)</f>
        <v>0.24</v>
      </c>
      <c r="G5" s="15" t="str">
        <f>IFERROR(__xludf.DUMMYFUNCTION("""COMPUTED_VALUE"""),"SEMITOP")</f>
        <v>SEMITOP</v>
      </c>
      <c r="H5" s="11"/>
      <c r="I5" s="15"/>
    </row>
    <row r="6">
      <c r="A6" s="11">
        <f>IFERROR(__xludf.DUMMYFUNCTION("""COMPUTED_VALUE"""),6397.0)</f>
        <v>6397</v>
      </c>
      <c r="B6" s="11" t="str">
        <f>IFERROR(__xludf.DUMMYFUNCTION("""COMPUTED_VALUE"""),"A")</f>
        <v>A</v>
      </c>
      <c r="C6" s="13" t="str">
        <f>IFERROR(__xludf.DUMMYFUNCTION("""COMPUTED_VALUE"""),"Ramos G.")</f>
        <v>Ramos G.</v>
      </c>
      <c r="D6" s="11" t="str">
        <f>IFERROR(__xludf.DUMMYFUNCTION("""COMPUTED_VALUE"""),"Milan")</f>
        <v>Milan</v>
      </c>
      <c r="E6" s="15">
        <f>IFERROR(__xludf.DUMMYFUNCTION("""COMPUTED_VALUE"""),144.0)</f>
        <v>144</v>
      </c>
      <c r="F6" s="17">
        <f>IFERROR(__xludf.DUMMYFUNCTION("""COMPUTED_VALUE"""),0.24)</f>
        <v>0.24</v>
      </c>
      <c r="G6" s="15" t="str">
        <f>IFERROR(__xludf.DUMMYFUNCTION("""COMPUTED_VALUE"""),"SEMITOP")</f>
        <v>SEMITOP</v>
      </c>
      <c r="H6" s="11"/>
      <c r="I6" s="15"/>
    </row>
    <row r="7">
      <c r="A7" s="11">
        <f>IFERROR(__xludf.DUMMYFUNCTION("""COMPUTED_VALUE"""),5951.0)</f>
        <v>5951</v>
      </c>
      <c r="B7" s="11" t="str">
        <f>IFERROR(__xludf.DUMMYFUNCTION("""COMPUTED_VALUE"""),"A")</f>
        <v>A</v>
      </c>
      <c r="C7" s="13" t="str">
        <f>IFERROR(__xludf.DUMMYFUNCTION("""COMPUTED_VALUE"""),"Kolo Muani")</f>
        <v>Kolo Muani</v>
      </c>
      <c r="D7" s="11" t="str">
        <f>IFERROR(__xludf.DUMMYFUNCTION("""COMPUTED_VALUE"""),"Juventus")</f>
        <v>Juventus</v>
      </c>
      <c r="E7" s="15">
        <f>IFERROR(__xludf.DUMMYFUNCTION("""COMPUTED_VALUE"""),144.0)</f>
        <v>144</v>
      </c>
      <c r="F7" s="17">
        <f>IFERROR(__xludf.DUMMYFUNCTION("""COMPUTED_VALUE"""),0.24)</f>
        <v>0.24</v>
      </c>
      <c r="G7" s="15" t="str">
        <f>IFERROR(__xludf.DUMMYFUNCTION("""COMPUTED_VALUE"""),"SEMITOP")</f>
        <v>SEMITOP</v>
      </c>
      <c r="H7" s="11" t="str">
        <f>IFERROR(__xludf.DUMMYFUNCTION("""COMPUTED_VALUE"""),"⭐")</f>
        <v>⭐</v>
      </c>
      <c r="I7" s="15"/>
    </row>
    <row r="8">
      <c r="A8" s="11">
        <f>IFERROR(__xludf.DUMMYFUNCTION("""COMPUTED_VALUE"""),2097.0)</f>
        <v>2097</v>
      </c>
      <c r="B8" s="11" t="str">
        <f>IFERROR(__xludf.DUMMYFUNCTION("""COMPUTED_VALUE"""),"A")</f>
        <v>A</v>
      </c>
      <c r="C8" s="13" t="str">
        <f>IFERROR(__xludf.DUMMYFUNCTION("""COMPUTED_VALUE"""),"Kean")</f>
        <v>Kean</v>
      </c>
      <c r="D8" s="11" t="str">
        <f>IFERROR(__xludf.DUMMYFUNCTION("""COMPUTED_VALUE"""),"Como")</f>
        <v>Como</v>
      </c>
      <c r="E8" s="15">
        <f>IFERROR(__xludf.DUMMYFUNCTION("""COMPUTED_VALUE"""),110.0)</f>
        <v>110</v>
      </c>
      <c r="F8" s="17">
        <f>IFERROR(__xludf.DUMMYFUNCTION("""COMPUTED_VALUE"""),0.183)</f>
        <v>0.183</v>
      </c>
      <c r="G8" s="15" t="str">
        <f>IFERROR(__xludf.DUMMYFUNCTION("""COMPUTED_VALUE"""),"SEMITOP")</f>
        <v>SEMITOP</v>
      </c>
      <c r="H8" s="11"/>
      <c r="I8" s="15"/>
    </row>
    <row r="9">
      <c r="A9" s="11">
        <f>IFERROR(__xludf.DUMMYFUNCTION("""COMPUTED_VALUE"""),5637.0)</f>
        <v>5637</v>
      </c>
      <c r="B9" s="11" t="str">
        <f>IFERROR(__xludf.DUMMYFUNCTION("""COMPUTED_VALUE"""),"A")</f>
        <v>A</v>
      </c>
      <c r="C9" s="11" t="str">
        <f>IFERROR(__xludf.DUMMYFUNCTION("""COMPUTED_VALUE"""),"Davis K.")</f>
        <v>Davis K.</v>
      </c>
      <c r="D9" s="11" t="str">
        <f>IFERROR(__xludf.DUMMYFUNCTION("""COMPUTED_VALUE"""),"Udinese")</f>
        <v>Udinese</v>
      </c>
      <c r="E9" s="15">
        <f>IFERROR(__xludf.DUMMYFUNCTION("""COMPUTED_VALUE"""),90.0)</f>
        <v>90</v>
      </c>
      <c r="F9" s="17">
        <f>IFERROR(__xludf.DUMMYFUNCTION("""COMPUTED_VALUE"""),0.15)</f>
        <v>0.15</v>
      </c>
      <c r="G9" s="15" t="str">
        <f>IFERROR(__xludf.DUMMYFUNCTION("""COMPUTED_VALUE"""),"SEMITOP")</f>
        <v>SEMITOP</v>
      </c>
      <c r="H9" s="11"/>
      <c r="I9" s="15"/>
    </row>
    <row r="10">
      <c r="A10" s="11">
        <f>IFERROR(__xludf.DUMMYFUNCTION("""COMPUTED_VALUE"""),7017.0)</f>
        <v>7017</v>
      </c>
      <c r="B10" s="11" t="str">
        <f>IFERROR(__xludf.DUMMYFUNCTION("""COMPUTED_VALUE"""),"A")</f>
        <v>A</v>
      </c>
      <c r="C10" s="13" t="str">
        <f>IFERROR(__xludf.DUMMYFUNCTION("""COMPUTED_VALUE"""),"Douvikas")</f>
        <v>Douvikas</v>
      </c>
      <c r="D10" s="11" t="str">
        <f>IFERROR(__xludf.DUMMYFUNCTION("""COMPUTED_VALUE"""),"Como")</f>
        <v>Como</v>
      </c>
      <c r="E10" s="15">
        <f>IFERROR(__xludf.DUMMYFUNCTION("""COMPUTED_VALUE"""),90.0)</f>
        <v>90</v>
      </c>
      <c r="F10" s="17">
        <f>IFERROR(__xludf.DUMMYFUNCTION("""COMPUTED_VALUE"""),0.15)</f>
        <v>0.15</v>
      </c>
      <c r="G10" s="15" t="str">
        <f>IFERROR(__xludf.DUMMYFUNCTION("""COMPUTED_VALUE"""),"TERZO-SLOT")</f>
        <v>TERZO-SLOT</v>
      </c>
      <c r="H10" s="11"/>
      <c r="I10" s="15"/>
    </row>
    <row r="11">
      <c r="A11" s="11">
        <f>IFERROR(__xludf.DUMMYFUNCTION("""COMPUTED_VALUE"""),309.0)</f>
        <v>309</v>
      </c>
      <c r="B11" s="11" t="str">
        <f>IFERROR(__xludf.DUMMYFUNCTION("""COMPUTED_VALUE"""),"A")</f>
        <v>A</v>
      </c>
      <c r="C11" s="13" t="str">
        <f>IFERROR(__xludf.DUMMYFUNCTION("""COMPUTED_VALUE"""),"Dybala")</f>
        <v>Dybala</v>
      </c>
      <c r="D11" s="11" t="str">
        <f>IFERROR(__xludf.DUMMYFUNCTION("""COMPUTED_VALUE"""),"Roma")</f>
        <v>Roma</v>
      </c>
      <c r="E11" s="15">
        <f>IFERROR(__xludf.DUMMYFUNCTION("""COMPUTED_VALUE"""),84.0)</f>
        <v>84</v>
      </c>
      <c r="F11" s="17">
        <f>IFERROR(__xludf.DUMMYFUNCTION("""COMPUTED_VALUE"""),0.14)</f>
        <v>0.14</v>
      </c>
      <c r="G11" s="15" t="str">
        <f>IFERROR(__xludf.DUMMYFUNCTION("""COMPUTED_VALUE"""),"TERZO-SLOT")</f>
        <v>TERZO-SLOT</v>
      </c>
      <c r="H11" s="11"/>
      <c r="I11" s="15"/>
    </row>
    <row r="12">
      <c r="A12" s="11">
        <f>IFERROR(__xludf.DUMMYFUNCTION("""COMPUTED_VALUE"""),2137.0)</f>
        <v>2137</v>
      </c>
      <c r="B12" s="11" t="str">
        <f>IFERROR(__xludf.DUMMYFUNCTION("""COMPUTED_VALUE"""),"A")</f>
        <v>A</v>
      </c>
      <c r="C12" s="13" t="str">
        <f>IFERROR(__xludf.DUMMYFUNCTION("""COMPUTED_VALUE"""),"Scamacca")</f>
        <v>Scamacca</v>
      </c>
      <c r="D12" s="11" t="str">
        <f>IFERROR(__xludf.DUMMYFUNCTION("""COMPUTED_VALUE"""),"Atalanta")</f>
        <v>Atalanta</v>
      </c>
      <c r="E12" s="15">
        <f>IFERROR(__xludf.DUMMYFUNCTION("""COMPUTED_VALUE"""),72.0)</f>
        <v>72</v>
      </c>
      <c r="F12" s="17">
        <f>IFERROR(__xludf.DUMMYFUNCTION("""COMPUTED_VALUE"""),0.12)</f>
        <v>0.12</v>
      </c>
      <c r="G12" s="15" t="str">
        <f>IFERROR(__xludf.DUMMYFUNCTION("""COMPUTED_VALUE"""),"TERZO-SLOT")</f>
        <v>TERZO-SLOT</v>
      </c>
      <c r="H12" s="11"/>
      <c r="I12" s="15"/>
    </row>
    <row r="13">
      <c r="A13" s="11">
        <f>IFERROR(__xludf.DUMMYFUNCTION("""COMPUTED_VALUE"""),7071.0)</f>
        <v>7071</v>
      </c>
      <c r="B13" s="11" t="str">
        <f>IFERROR(__xludf.DUMMYFUNCTION("""COMPUTED_VALUE"""),"A")</f>
        <v>A</v>
      </c>
      <c r="C13" s="13" t="str">
        <f>IFERROR(__xludf.DUMMYFUNCTION("""COMPUTED_VALUE"""),"Esposito F.P.")</f>
        <v>Esposito F.P.</v>
      </c>
      <c r="D13" s="11" t="str">
        <f>IFERROR(__xludf.DUMMYFUNCTION("""COMPUTED_VALUE"""),"Inter")</f>
        <v>Inter</v>
      </c>
      <c r="E13" s="15">
        <f>IFERROR(__xludf.DUMMYFUNCTION("""COMPUTED_VALUE"""),72.0)</f>
        <v>72</v>
      </c>
      <c r="F13" s="17">
        <f>IFERROR(__xludf.DUMMYFUNCTION("""COMPUTED_VALUE"""),0.12)</f>
        <v>0.12</v>
      </c>
      <c r="G13" s="15" t="str">
        <f>IFERROR(__xludf.DUMMYFUNCTION("""COMPUTED_VALUE"""),"TERZO-SLOT")</f>
        <v>TERZO-SLOT</v>
      </c>
      <c r="H13" s="11"/>
      <c r="I13" s="15"/>
    </row>
    <row r="14">
      <c r="A14" s="11">
        <f>IFERROR(__xludf.DUMMYFUNCTION("""COMPUTED_VALUE"""),6752.0)</f>
        <v>6752</v>
      </c>
      <c r="B14" s="11" t="str">
        <f>IFERROR(__xludf.DUMMYFUNCTION("""COMPUTED_VALUE"""),"A")</f>
        <v>A</v>
      </c>
      <c r="C14" s="13" t="str">
        <f>IFERROR(__xludf.DUMMYFUNCTION("""COMPUTED_VALUE"""),"Woltemade")</f>
        <v>Woltemade</v>
      </c>
      <c r="D14" s="11" t="str">
        <f>IFERROR(__xludf.DUMMYFUNCTION("""COMPUTED_VALUE"""),"Juventus")</f>
        <v>Juventus</v>
      </c>
      <c r="E14" s="15">
        <f>IFERROR(__xludf.DUMMYFUNCTION("""COMPUTED_VALUE"""),60.0)</f>
        <v>60</v>
      </c>
      <c r="F14" s="17">
        <f>IFERROR(__xludf.DUMMYFUNCTION("""COMPUTED_VALUE"""),0.1)</f>
        <v>0.1</v>
      </c>
      <c r="G14" s="15" t="str">
        <f>IFERROR(__xludf.DUMMYFUNCTION("""COMPUTED_VALUE"""),"TERZO-SLOT")</f>
        <v>TERZO-SLOT</v>
      </c>
      <c r="H14" s="11"/>
      <c r="I14" s="15"/>
    </row>
    <row r="15">
      <c r="A15" s="11">
        <f>IFERROR(__xludf.DUMMYFUNCTION("""COMPUTED_VALUE"""),531.0)</f>
        <v>531</v>
      </c>
      <c r="B15" s="11" t="str">
        <f>IFERROR(__xludf.DUMMYFUNCTION("""COMPUTED_VALUE"""),"A")</f>
        <v>A</v>
      </c>
      <c r="C15" s="11" t="str">
        <f>IFERROR(__xludf.DUMMYFUNCTION("""COMPUTED_VALUE"""),"Berardi")</f>
        <v>Berardi</v>
      </c>
      <c r="D15" s="11" t="str">
        <f>IFERROR(__xludf.DUMMYFUNCTION("""COMPUTED_VALUE"""),"Sassuolo")</f>
        <v>Sassuolo</v>
      </c>
      <c r="E15" s="15">
        <f>IFERROR(__xludf.DUMMYFUNCTION("""COMPUTED_VALUE"""),60.0)</f>
        <v>60</v>
      </c>
      <c r="F15" s="17">
        <f>IFERROR(__xludf.DUMMYFUNCTION("""COMPUTED_VALUE"""),0.1)</f>
        <v>0.1</v>
      </c>
      <c r="G15" s="15" t="str">
        <f>IFERROR(__xludf.DUMMYFUNCTION("""COMPUTED_VALUE"""),"TERZO-SLOT")</f>
        <v>TERZO-SLOT</v>
      </c>
      <c r="H15" s="11"/>
      <c r="I15" s="15"/>
    </row>
    <row r="16">
      <c r="A16" s="11">
        <f>IFERROR(__xludf.DUMMYFUNCTION("""COMPUTED_VALUE"""),6435.0)</f>
        <v>6435</v>
      </c>
      <c r="B16" s="11" t="str">
        <f>IFERROR(__xludf.DUMMYFUNCTION("""COMPUTED_VALUE"""),"A")</f>
        <v>A</v>
      </c>
      <c r="C16" s="13" t="str">
        <f>IFERROR(__xludf.DUMMYFUNCTION("""COMPUTED_VALUE"""),"Krstovic")</f>
        <v>Krstovic</v>
      </c>
      <c r="D16" s="11" t="str">
        <f>IFERROR(__xludf.DUMMYFUNCTION("""COMPUTED_VALUE"""),"Atalanta")</f>
        <v>Atalanta</v>
      </c>
      <c r="E16" s="15">
        <f>IFERROR(__xludf.DUMMYFUNCTION("""COMPUTED_VALUE"""),60.0)</f>
        <v>60</v>
      </c>
      <c r="F16" s="17">
        <f>IFERROR(__xludf.DUMMYFUNCTION("""COMPUTED_VALUE"""),0.1)</f>
        <v>0.1</v>
      </c>
      <c r="G16" s="15" t="str">
        <f>IFERROR(__xludf.DUMMYFUNCTION("""COMPUTED_VALUE"""),"TERZO-SLOT")</f>
        <v>TERZO-SLOT</v>
      </c>
      <c r="H16" s="11"/>
      <c r="I16" s="15"/>
    </row>
    <row r="17">
      <c r="A17" s="11">
        <f>IFERROR(__xludf.DUMMYFUNCTION("""COMPUTED_VALUE"""),2061.0)</f>
        <v>2061</v>
      </c>
      <c r="B17" s="11" t="str">
        <f>IFERROR(__xludf.DUMMYFUNCTION("""COMPUTED_VALUE"""),"A")</f>
        <v>A</v>
      </c>
      <c r="C17" s="13" t="str">
        <f>IFERROR(__xludf.DUMMYFUNCTION("""COMPUTED_VALUE"""),"Simeone")</f>
        <v>Simeone</v>
      </c>
      <c r="D17" s="11" t="str">
        <f>IFERROR(__xludf.DUMMYFUNCTION("""COMPUTED_VALUE"""),"Torino")</f>
        <v>Torino</v>
      </c>
      <c r="E17" s="15">
        <f>IFERROR(__xludf.DUMMYFUNCTION("""COMPUTED_VALUE"""),60.0)</f>
        <v>60</v>
      </c>
      <c r="F17" s="17">
        <f>IFERROR(__xludf.DUMMYFUNCTION("""COMPUTED_VALUE"""),0.1)</f>
        <v>0.1</v>
      </c>
      <c r="G17" s="15" t="str">
        <f>IFERROR(__xludf.DUMMYFUNCTION("""COMPUTED_VALUE"""),"TERZO-SLOT")</f>
        <v>TERZO-SLOT</v>
      </c>
      <c r="H17" s="11"/>
      <c r="I17" s="15"/>
    </row>
    <row r="18">
      <c r="A18" s="11">
        <f>IFERROR(__xludf.DUMMYFUNCTION("""COMPUTED_VALUE"""),5694.0)</f>
        <v>5694</v>
      </c>
      <c r="B18" s="11" t="str">
        <f>IFERROR(__xludf.DUMMYFUNCTION("""COMPUTED_VALUE"""),"A")</f>
        <v>A</v>
      </c>
      <c r="C18" s="13" t="str">
        <f>IFERROR(__xludf.DUMMYFUNCTION("""COMPUTED_VALUE"""),"Beto")</f>
        <v>Beto</v>
      </c>
      <c r="D18" s="11" t="str">
        <f>IFERROR(__xludf.DUMMYFUNCTION("""COMPUTED_VALUE"""),"Fiorentina")</f>
        <v>Fiorentina</v>
      </c>
      <c r="E18" s="15">
        <f>IFERROR(__xludf.DUMMYFUNCTION("""COMPUTED_VALUE"""),60.0)</f>
        <v>60</v>
      </c>
      <c r="F18" s="17">
        <f>IFERROR(__xludf.DUMMYFUNCTION("""COMPUTED_VALUE"""),0.1)</f>
        <v>0.1</v>
      </c>
      <c r="G18" s="15" t="str">
        <f>IFERROR(__xludf.DUMMYFUNCTION("""COMPUTED_VALUE"""),"TERZO-SLOT")</f>
        <v>TERZO-SLOT</v>
      </c>
      <c r="H18" s="11"/>
      <c r="I18" s="15"/>
    </row>
    <row r="19">
      <c r="A19" s="11">
        <f>IFERROR(__xludf.DUMMYFUNCTION("""COMPUTED_VALUE"""),2038.0)</f>
        <v>2038</v>
      </c>
      <c r="B19" s="11" t="str">
        <f>IFERROR(__xludf.DUMMYFUNCTION("""COMPUTED_VALUE"""),"A")</f>
        <v>A</v>
      </c>
      <c r="C19" s="13" t="str">
        <f>IFERROR(__xludf.DUMMYFUNCTION("""COMPUTED_VALUE"""),"Pinamonti")</f>
        <v>Pinamonti</v>
      </c>
      <c r="D19" s="11" t="str">
        <f>IFERROR(__xludf.DUMMYFUNCTION("""COMPUTED_VALUE"""),"Lazio")</f>
        <v>Lazio</v>
      </c>
      <c r="E19" s="15">
        <f>IFERROR(__xludf.DUMMYFUNCTION("""COMPUTED_VALUE"""),48.0)</f>
        <v>48</v>
      </c>
      <c r="F19" s="17">
        <f>IFERROR(__xludf.DUMMYFUNCTION("""COMPUTED_VALUE"""),0.08)</f>
        <v>0.08</v>
      </c>
      <c r="G19" s="15" t="str">
        <f>IFERROR(__xludf.DUMMYFUNCTION("""COMPUTED_VALUE"""),"TERZO-SLOT")</f>
        <v>TERZO-SLOT</v>
      </c>
      <c r="H19" s="11"/>
      <c r="I19" s="15"/>
    </row>
    <row r="20">
      <c r="A20" s="11">
        <f>IFERROR(__xludf.DUMMYFUNCTION("""COMPUTED_VALUE"""),6572.0)</f>
        <v>6572</v>
      </c>
      <c r="B20" s="11" t="str">
        <f>IFERROR(__xludf.DUMMYFUNCTION("""COMPUTED_VALUE"""),"A")</f>
        <v>A</v>
      </c>
      <c r="C20" s="13" t="str">
        <f>IFERROR(__xludf.DUMMYFUNCTION("""COMPUTED_VALUE"""),"Castro S.")</f>
        <v>Castro S.</v>
      </c>
      <c r="D20" s="11" t="str">
        <f>IFERROR(__xludf.DUMMYFUNCTION("""COMPUTED_VALUE"""),"Roma")</f>
        <v>Roma</v>
      </c>
      <c r="E20" s="15">
        <f>IFERROR(__xludf.DUMMYFUNCTION("""COMPUTED_VALUE"""),42.0)</f>
        <v>42</v>
      </c>
      <c r="F20" s="17">
        <f>IFERROR(__xludf.DUMMYFUNCTION("""COMPUTED_VALUE"""),0.07)</f>
        <v>0.07</v>
      </c>
      <c r="G20" s="15" t="str">
        <f>IFERROR(__xludf.DUMMYFUNCTION("""COMPUTED_VALUE"""),"TERZO-SLOT")</f>
        <v>TERZO-SLOT</v>
      </c>
      <c r="H20" s="11" t="str">
        <f>IFERROR(__xludf.DUMMYFUNCTION("""COMPUTED_VALUE"""),"⭐")</f>
        <v>⭐</v>
      </c>
      <c r="I20" s="15"/>
    </row>
    <row r="21">
      <c r="A21" s="11">
        <f>IFERROR(__xludf.DUMMYFUNCTION("""COMPUTED_VALUE"""),4371.0)</f>
        <v>4371</v>
      </c>
      <c r="B21" s="11" t="str">
        <f>IFERROR(__xludf.DUMMYFUNCTION("""COMPUTED_VALUE"""),"A")</f>
        <v>A</v>
      </c>
      <c r="C21" s="13" t="str">
        <f>IFERROR(__xludf.DUMMYFUNCTION("""COMPUTED_VALUE"""),"Raspadori")</f>
        <v>Raspadori</v>
      </c>
      <c r="D21" s="11" t="str">
        <f>IFERROR(__xludf.DUMMYFUNCTION("""COMPUTED_VALUE"""),"Atalanta")</f>
        <v>Atalanta</v>
      </c>
      <c r="E21" s="15">
        <f>IFERROR(__xludf.DUMMYFUNCTION("""COMPUTED_VALUE"""),42.0)</f>
        <v>42</v>
      </c>
      <c r="F21" s="17">
        <f>IFERROR(__xludf.DUMMYFUNCTION("""COMPUTED_VALUE"""),0.07)</f>
        <v>0.07</v>
      </c>
      <c r="G21" s="15" t="str">
        <f>IFERROR(__xludf.DUMMYFUNCTION("""COMPUTED_VALUE"""),"QUARTO-SLOT")</f>
        <v>QUARTO-SLOT</v>
      </c>
      <c r="H21" s="11"/>
      <c r="I21" s="15"/>
    </row>
    <row r="22">
      <c r="A22" s="11">
        <f>IFERROR(__xludf.DUMMYFUNCTION("""COMPUTED_VALUE"""),6434.0)</f>
        <v>6434</v>
      </c>
      <c r="B22" s="11" t="str">
        <f>IFERROR(__xludf.DUMMYFUNCTION("""COMPUTED_VALUE"""),"A")</f>
        <v>A</v>
      </c>
      <c r="C22" s="13" t="str">
        <f>IFERROR(__xludf.DUMMYFUNCTION("""COMPUTED_VALUE"""),"Yildiz")</f>
        <v>Yildiz</v>
      </c>
      <c r="D22" s="11" t="str">
        <f>IFERROR(__xludf.DUMMYFUNCTION("""COMPUTED_VALUE"""),"Juventus")</f>
        <v>Juventus</v>
      </c>
      <c r="E22" s="15">
        <f>IFERROR(__xludf.DUMMYFUNCTION("""COMPUTED_VALUE"""),36.0)</f>
        <v>36</v>
      </c>
      <c r="F22" s="17">
        <f>IFERROR(__xludf.DUMMYFUNCTION("""COMPUTED_VALUE"""),0.06)</f>
        <v>0.06</v>
      </c>
      <c r="G22" s="15" t="str">
        <f>IFERROR(__xludf.DUMMYFUNCTION("""COMPUTED_VALUE"""),"QUARTO-SLOT")</f>
        <v>QUARTO-SLOT</v>
      </c>
      <c r="H22" s="11"/>
      <c r="I22" s="15"/>
    </row>
    <row r="23">
      <c r="A23" s="11">
        <f>IFERROR(__xludf.DUMMYFUNCTION("""COMPUTED_VALUE"""),5995.0)</f>
        <v>5995</v>
      </c>
      <c r="B23" s="11" t="str">
        <f>IFERROR(__xludf.DUMMYFUNCTION("""COMPUTED_VALUE"""),"A")</f>
        <v>A</v>
      </c>
      <c r="C23" s="13" t="str">
        <f>IFERROR(__xludf.DUMMYFUNCTION("""COMPUTED_VALUE"""),"De Ketelaere")</f>
        <v>De Ketelaere</v>
      </c>
      <c r="D23" s="11" t="str">
        <f>IFERROR(__xludf.DUMMYFUNCTION("""COMPUTED_VALUE"""),"Atalanta")</f>
        <v>Atalanta</v>
      </c>
      <c r="E23" s="15">
        <f>IFERROR(__xludf.DUMMYFUNCTION("""COMPUTED_VALUE"""),36.0)</f>
        <v>36</v>
      </c>
      <c r="F23" s="17">
        <f>IFERROR(__xludf.DUMMYFUNCTION("""COMPUTED_VALUE"""),0.06)</f>
        <v>0.06</v>
      </c>
      <c r="G23" s="15" t="str">
        <f>IFERROR(__xludf.DUMMYFUNCTION("""COMPUTED_VALUE"""),"QUARTO-SLOT")</f>
        <v>QUARTO-SLOT</v>
      </c>
      <c r="H23" s="11"/>
      <c r="I23" s="15"/>
    </row>
    <row r="24">
      <c r="A24" s="11">
        <f>IFERROR(__xludf.DUMMYFUNCTION("""COMPUTED_VALUE"""),6060.0)</f>
        <v>6060</v>
      </c>
      <c r="B24" s="11" t="str">
        <f>IFERROR(__xludf.DUMMYFUNCTION("""COMPUTED_VALUE"""),"A")</f>
        <v>A</v>
      </c>
      <c r="C24" s="13" t="str">
        <f>IFERROR(__xludf.DUMMYFUNCTION("""COMPUTED_VALUE"""),"Laurientè")</f>
        <v>Laurientè</v>
      </c>
      <c r="D24" s="11" t="str">
        <f>IFERROR(__xludf.DUMMYFUNCTION("""COMPUTED_VALUE"""),"Sassuolo")</f>
        <v>Sassuolo</v>
      </c>
      <c r="E24" s="15">
        <f>IFERROR(__xludf.DUMMYFUNCTION("""COMPUTED_VALUE"""),36.0)</f>
        <v>36</v>
      </c>
      <c r="F24" s="17">
        <f>IFERROR(__xludf.DUMMYFUNCTION("""COMPUTED_VALUE"""),0.06)</f>
        <v>0.06</v>
      </c>
      <c r="G24" s="15" t="str">
        <f>IFERROR(__xludf.DUMMYFUNCTION("""COMPUTED_VALUE"""),"QUARTO-SLOT")</f>
        <v>QUARTO-SLOT</v>
      </c>
      <c r="H24" s="11"/>
      <c r="I24" s="15"/>
    </row>
    <row r="25">
      <c r="A25" s="11">
        <f>IFERROR(__xludf.DUMMYFUNCTION("""COMPUTED_VALUE"""),7351.0)</f>
        <v>7351</v>
      </c>
      <c r="B25" s="11" t="str">
        <f>IFERROR(__xludf.DUMMYFUNCTION("""COMPUTED_VALUE"""),"A")</f>
        <v>A</v>
      </c>
      <c r="C25" s="11" t="str">
        <f>IFERROR(__xludf.DUMMYFUNCTION("""COMPUTED_VALUE"""),"Santos A.")</f>
        <v>Santos A.</v>
      </c>
      <c r="D25" s="11" t="str">
        <f>IFERROR(__xludf.DUMMYFUNCTION("""COMPUTED_VALUE"""),"Napoli")</f>
        <v>Napoli</v>
      </c>
      <c r="E25" s="15">
        <f>IFERROR(__xludf.DUMMYFUNCTION("""COMPUTED_VALUE"""),30.0)</f>
        <v>30</v>
      </c>
      <c r="F25" s="17">
        <f>IFERROR(__xludf.DUMMYFUNCTION("""COMPUTED_VALUE"""),0.05)</f>
        <v>0.05</v>
      </c>
      <c r="G25" s="15" t="str">
        <f>IFERROR(__xludf.DUMMYFUNCTION("""COMPUTED_VALUE"""),"QUARTO-SLOT")</f>
        <v>QUARTO-SLOT</v>
      </c>
      <c r="H25" s="11"/>
      <c r="I25" s="15"/>
    </row>
    <row r="26">
      <c r="A26" s="11">
        <f>IFERROR(__xludf.DUMMYFUNCTION("""COMPUTED_VALUE"""),4923.0)</f>
        <v>4923</v>
      </c>
      <c r="B26" s="11" t="str">
        <f>IFERROR(__xludf.DUMMYFUNCTION("""COMPUTED_VALUE"""),"A")</f>
        <v>A</v>
      </c>
      <c r="C26" s="11" t="str">
        <f>IFERROR(__xludf.DUMMYFUNCTION("""COMPUTED_VALUE"""),"Colombo")</f>
        <v>Colombo</v>
      </c>
      <c r="D26" s="11" t="str">
        <f>IFERROR(__xludf.DUMMYFUNCTION("""COMPUTED_VALUE"""),"Genoa")</f>
        <v>Genoa</v>
      </c>
      <c r="E26" s="15">
        <f>IFERROR(__xludf.DUMMYFUNCTION("""COMPUTED_VALUE"""),30.0)</f>
        <v>30</v>
      </c>
      <c r="F26" s="17">
        <f>IFERROR(__xludf.DUMMYFUNCTION("""COMPUTED_VALUE"""),0.05)</f>
        <v>0.05</v>
      </c>
      <c r="G26" s="15" t="str">
        <f>IFERROR(__xludf.DUMMYFUNCTION("""COMPUTED_VALUE"""),"QUARTO-SLOT")</f>
        <v>QUARTO-SLOT</v>
      </c>
      <c r="H26" s="11"/>
      <c r="I26" s="15"/>
    </row>
    <row r="27">
      <c r="A27" s="11">
        <f>IFERROR(__xludf.DUMMYFUNCTION("""COMPUTED_VALUE"""),5734.0)</f>
        <v>5734</v>
      </c>
      <c r="B27" s="11" t="str">
        <f>IFERROR(__xludf.DUMMYFUNCTION("""COMPUTED_VALUE"""),"A")</f>
        <v>A</v>
      </c>
      <c r="C27" s="13" t="str">
        <f>IFERROR(__xludf.DUMMYFUNCTION("""COMPUTED_VALUE"""),"Soulè")</f>
        <v>Soulè</v>
      </c>
      <c r="D27" s="11" t="str">
        <f>IFERROR(__xludf.DUMMYFUNCTION("""COMPUTED_VALUE"""),"Roma")</f>
        <v>Roma</v>
      </c>
      <c r="E27" s="15">
        <f>IFERROR(__xludf.DUMMYFUNCTION("""COMPUTED_VALUE"""),18.0)</f>
        <v>18</v>
      </c>
      <c r="F27" s="17">
        <f>IFERROR(__xludf.DUMMYFUNCTION("""COMPUTED_VALUE"""),0.03)</f>
        <v>0.03</v>
      </c>
      <c r="G27" s="15" t="str">
        <f>IFERROR(__xludf.DUMMYFUNCTION("""COMPUTED_VALUE"""),"QUARTO-SLOT")</f>
        <v>QUARTO-SLOT</v>
      </c>
      <c r="H27" s="11"/>
      <c r="I27" s="15"/>
    </row>
    <row r="28">
      <c r="A28" s="11">
        <f>IFERROR(__xludf.DUMMYFUNCTION("""COMPUTED_VALUE"""),7023.0)</f>
        <v>7023</v>
      </c>
      <c r="B28" s="11" t="str">
        <f>IFERROR(__xludf.DUMMYFUNCTION("""COMPUTED_VALUE"""),"A")</f>
        <v>A</v>
      </c>
      <c r="C28" s="13" t="str">
        <f>IFERROR(__xludf.DUMMYFUNCTION("""COMPUTED_VALUE"""),"Pellegrino M.")</f>
        <v>Pellegrino M.</v>
      </c>
      <c r="D28" s="11" t="str">
        <f>IFERROR(__xludf.DUMMYFUNCTION("""COMPUTED_VALUE"""),"Fiorentina")</f>
        <v>Fiorentina</v>
      </c>
      <c r="E28" s="15">
        <f>IFERROR(__xludf.DUMMYFUNCTION("""COMPUTED_VALUE"""),18.0)</f>
        <v>18</v>
      </c>
      <c r="F28" s="17">
        <f>IFERROR(__xludf.DUMMYFUNCTION("""COMPUTED_VALUE"""),0.03)</f>
        <v>0.03</v>
      </c>
      <c r="G28" s="15" t="str">
        <f>IFERROR(__xludf.DUMMYFUNCTION("""COMPUTED_VALUE"""),"QUARTO-SLOT")</f>
        <v>QUARTO-SLOT</v>
      </c>
      <c r="H28" s="11"/>
      <c r="I28" s="15"/>
    </row>
    <row r="29">
      <c r="A29" s="11">
        <f>IFERROR(__xludf.DUMMYFUNCTION("""COMPUTED_VALUE"""),6646.0)</f>
        <v>6646</v>
      </c>
      <c r="B29" s="11" t="str">
        <f>IFERROR(__xludf.DUMMYFUNCTION("""COMPUTED_VALUE"""),"A")</f>
        <v>A</v>
      </c>
      <c r="C29" s="13" t="str">
        <f>IFERROR(__xludf.DUMMYFUNCTION("""COMPUTED_VALUE"""),"Adams C.")</f>
        <v>Adams C.</v>
      </c>
      <c r="D29" s="11" t="str">
        <f>IFERROR(__xludf.DUMMYFUNCTION("""COMPUTED_VALUE"""),"Torino")</f>
        <v>Torino</v>
      </c>
      <c r="E29" s="15">
        <f>IFERROR(__xludf.DUMMYFUNCTION("""COMPUTED_VALUE"""),12.0)</f>
        <v>12</v>
      </c>
      <c r="F29" s="17">
        <f>IFERROR(__xludf.DUMMYFUNCTION("""COMPUTED_VALUE"""),0.02)</f>
        <v>0.02</v>
      </c>
      <c r="G29" s="15" t="str">
        <f>IFERROR(__xludf.DUMMYFUNCTION("""COMPUTED_VALUE"""),"SCOMMESSE")</f>
        <v>SCOMMESSE</v>
      </c>
      <c r="H29" s="11"/>
      <c r="I29" s="15"/>
    </row>
    <row r="30">
      <c r="A30" s="11">
        <f>IFERROR(__xludf.DUMMYFUNCTION("""COMPUTED_VALUE"""),7523.0)</f>
        <v>7523</v>
      </c>
      <c r="B30" s="11" t="str">
        <f>IFERROR(__xludf.DUMMYFUNCTION("""COMPUTED_VALUE"""),"A")</f>
        <v>A</v>
      </c>
      <c r="C30" s="11" t="str">
        <f>IFERROR(__xludf.DUMMYFUNCTION("""COMPUTED_VALUE"""),"Varela G.")</f>
        <v>Varela G.</v>
      </c>
      <c r="D30" s="11" t="str">
        <f>IFERROR(__xludf.DUMMYFUNCTION("""COMPUTED_VALUE"""),"Monza")</f>
        <v>Monza</v>
      </c>
      <c r="E30" s="15">
        <f>IFERROR(__xludf.DUMMYFUNCTION("""COMPUTED_VALUE"""),6.0)</f>
        <v>6</v>
      </c>
      <c r="F30" s="17">
        <f>IFERROR(__xludf.DUMMYFUNCTION("""COMPUTED_VALUE"""),0.01)</f>
        <v>0.01</v>
      </c>
      <c r="G30" s="15" t="str">
        <f>IFERROR(__xludf.DUMMYFUNCTION("""COMPUTED_VALUE"""),"SCOMMESSE")</f>
        <v>SCOMMESSE</v>
      </c>
      <c r="H30" s="11"/>
      <c r="I30" s="15"/>
    </row>
    <row r="31">
      <c r="A31" s="11">
        <f>IFERROR(__xludf.DUMMYFUNCTION("""COMPUTED_VALUE"""),6229.0)</f>
        <v>6229</v>
      </c>
      <c r="B31" s="11" t="str">
        <f>IFERROR(__xludf.DUMMYFUNCTION("""COMPUTED_VALUE"""),"A")</f>
        <v>A</v>
      </c>
      <c r="C31" s="11" t="str">
        <f>IFERROR(__xludf.DUMMYFUNCTION("""COMPUTED_VALUE"""),"Tourè E.")</f>
        <v>Tourè E.</v>
      </c>
      <c r="D31" s="11" t="str">
        <f>IFERROR(__xludf.DUMMYFUNCTION("""COMPUTED_VALUE"""),"Parma")</f>
        <v>Parma</v>
      </c>
      <c r="E31" s="15">
        <f>IFERROR(__xludf.DUMMYFUNCTION("""COMPUTED_VALUE"""),6.0)</f>
        <v>6</v>
      </c>
      <c r="F31" s="17">
        <f>IFERROR(__xludf.DUMMYFUNCTION("""COMPUTED_VALUE"""),0.01)</f>
        <v>0.01</v>
      </c>
      <c r="G31" s="15" t="str">
        <f>IFERROR(__xludf.DUMMYFUNCTION("""COMPUTED_VALUE"""),"SCOMMESSE")</f>
        <v>SCOMMESSE</v>
      </c>
      <c r="H31" s="11"/>
      <c r="I31" s="15"/>
    </row>
    <row r="32">
      <c r="A32" s="11">
        <f>IFERROR(__xludf.DUMMYFUNCTION("""COMPUTED_VALUE"""),7252.0)</f>
        <v>7252</v>
      </c>
      <c r="B32" s="11" t="str">
        <f>IFERROR(__xludf.DUMMYFUNCTION("""COMPUTED_VALUE"""),"A")</f>
        <v>A</v>
      </c>
      <c r="C32" s="11" t="str">
        <f>IFERROR(__xludf.DUMMYFUNCTION("""COMPUTED_VALUE"""),"Stulic")</f>
        <v>Stulic</v>
      </c>
      <c r="D32" s="11" t="str">
        <f>IFERROR(__xludf.DUMMYFUNCTION("""COMPUTED_VALUE"""),"Lecce")</f>
        <v>Lecce</v>
      </c>
      <c r="E32" s="15">
        <f>IFERROR(__xludf.DUMMYFUNCTION("""COMPUTED_VALUE"""),1.0)</f>
        <v>1</v>
      </c>
      <c r="F32" s="17">
        <f>IFERROR(__xludf.DUMMYFUNCTION("""COMPUTED_VALUE"""),0.002)</f>
        <v>0.002</v>
      </c>
      <c r="G32" s="15" t="str">
        <f>IFERROR(__xludf.DUMMYFUNCTION("""COMPUTED_VALUE"""),"SCOMMESSE")</f>
        <v>SCOMMESSE</v>
      </c>
      <c r="H32" s="11" t="str">
        <f>IFERROR(__xludf.DUMMYFUNCTION("""COMPUTED_VALUE"""),"⭐")</f>
        <v>⭐</v>
      </c>
      <c r="I32" s="15"/>
    </row>
    <row r="33">
      <c r="A33" s="11">
        <f>IFERROR(__xludf.DUMMYFUNCTION("""COMPUTED_VALUE"""),7374.0)</f>
        <v>7374</v>
      </c>
      <c r="B33" s="11" t="str">
        <f>IFERROR(__xludf.DUMMYFUNCTION("""COMPUTED_VALUE"""),"A")</f>
        <v>A</v>
      </c>
      <c r="C33" s="11" t="str">
        <f>IFERROR(__xludf.DUMMYFUNCTION("""COMPUTED_VALUE"""),"Mendy P.")</f>
        <v>Mendy P.</v>
      </c>
      <c r="D33" s="11" t="str">
        <f>IFERROR(__xludf.DUMMYFUNCTION("""COMPUTED_VALUE"""),"Cagliari")</f>
        <v>Cagliari</v>
      </c>
      <c r="E33" s="15">
        <f>IFERROR(__xludf.DUMMYFUNCTION("""COMPUTED_VALUE"""),1.0)</f>
        <v>1</v>
      </c>
      <c r="F33" s="17">
        <f>IFERROR(__xludf.DUMMYFUNCTION("""COMPUTED_VALUE"""),0.002)</f>
        <v>0.002</v>
      </c>
      <c r="G33" s="15" t="str">
        <f>IFERROR(__xludf.DUMMYFUNCTION("""COMPUTED_VALUE"""),"SCOMMESSE")</f>
        <v>SCOMMESSE</v>
      </c>
      <c r="H33" s="11"/>
      <c r="I33" s="15"/>
    </row>
    <row r="34">
      <c r="A34" s="11">
        <f>IFERROR(__xludf.DUMMYFUNCTION("""COMPUTED_VALUE"""),7120.0)</f>
        <v>7120</v>
      </c>
      <c r="B34" s="11" t="str">
        <f>IFERROR(__xludf.DUMMYFUNCTION("""COMPUTED_VALUE"""),"A")</f>
        <v>A</v>
      </c>
      <c r="C34" s="11" t="str">
        <f>IFERROR(__xludf.DUMMYFUNCTION("""COMPUTED_VALUE"""),"Lang")</f>
        <v>Lang</v>
      </c>
      <c r="D34" s="11" t="str">
        <f>IFERROR(__xludf.DUMMYFUNCTION("""COMPUTED_VALUE"""),"Napoli")</f>
        <v>Napoli</v>
      </c>
      <c r="E34" s="15">
        <f>IFERROR(__xludf.DUMMYFUNCTION("""COMPUTED_VALUE"""),6.0)</f>
        <v>6</v>
      </c>
      <c r="F34" s="17">
        <f>IFERROR(__xludf.DUMMYFUNCTION("""COMPUTED_VALUE"""),0.01)</f>
        <v>0.01</v>
      </c>
      <c r="G34" s="15" t="str">
        <f>IFERROR(__xludf.DUMMYFUNCTION("""COMPUTED_VALUE"""),"ALTRI")</f>
        <v>ALTRI</v>
      </c>
      <c r="H34" s="11"/>
      <c r="I34" s="15"/>
    </row>
    <row r="35">
      <c r="A35" s="11">
        <f>IFERROR(__xludf.DUMMYFUNCTION("""COMPUTED_VALUE"""),6967.0)</f>
        <v>6967</v>
      </c>
      <c r="B35" s="11" t="str">
        <f>IFERROR(__xludf.DUMMYFUNCTION("""COMPUTED_VALUE"""),"A")</f>
        <v>A</v>
      </c>
      <c r="C35" s="13" t="str">
        <f>IFERROR(__xludf.DUMMYFUNCTION("""COMPUTED_VALUE"""),"Diao")</f>
        <v>Diao</v>
      </c>
      <c r="D35" s="11" t="str">
        <f>IFERROR(__xludf.DUMMYFUNCTION("""COMPUTED_VALUE"""),"Como")</f>
        <v>Como</v>
      </c>
      <c r="E35" s="15">
        <f>IFERROR(__xludf.DUMMYFUNCTION("""COMPUTED_VALUE"""),30.0)</f>
        <v>30</v>
      </c>
      <c r="F35" s="17">
        <f>IFERROR(__xludf.DUMMYFUNCTION("""COMPUTED_VALUE"""),0.05)</f>
        <v>0.05</v>
      </c>
      <c r="G35" s="15"/>
      <c r="H35" s="11"/>
      <c r="I35" s="15"/>
    </row>
    <row r="36">
      <c r="A36" s="11">
        <f>IFERROR(__xludf.DUMMYFUNCTION("""COMPUTED_VALUE"""),7547.0)</f>
        <v>7547</v>
      </c>
      <c r="B36" s="11" t="str">
        <f>IFERROR(__xludf.DUMMYFUNCTION("""COMPUTED_VALUE"""),"A")</f>
        <v>A</v>
      </c>
      <c r="C36" s="11" t="str">
        <f>IFERROR(__xludf.DUMMYFUNCTION("""COMPUTED_VALUE"""),"Kevin Carlos")</f>
        <v>Kevin Carlos</v>
      </c>
      <c r="D36" s="11" t="str">
        <f>IFERROR(__xludf.DUMMYFUNCTION("""COMPUTED_VALUE"""),"Cagliari")</f>
        <v>Cagliari</v>
      </c>
      <c r="E36" s="15">
        <f>IFERROR(__xludf.DUMMYFUNCTION("""COMPUTED_VALUE"""),22.0)</f>
        <v>22</v>
      </c>
      <c r="F36" s="17">
        <f>IFERROR(__xludf.DUMMYFUNCTION("""COMPUTED_VALUE"""),0.036)</f>
        <v>0.036</v>
      </c>
      <c r="G36" s="15"/>
      <c r="H36" s="11"/>
      <c r="I36" s="15"/>
    </row>
    <row r="37">
      <c r="A37" s="11">
        <f>IFERROR(__xludf.DUMMYFUNCTION("""COMPUTED_VALUE"""),7554.0)</f>
        <v>7554</v>
      </c>
      <c r="B37" s="11" t="str">
        <f>IFERROR(__xludf.DUMMYFUNCTION("""COMPUTED_VALUE"""),"A")</f>
        <v>A</v>
      </c>
      <c r="C37" s="11" t="str">
        <f>IFERROR(__xludf.DUMMYFUNCTION("""COMPUTED_VALUE"""),"Romero D.")</f>
        <v>Romero D.</v>
      </c>
      <c r="D37" s="11" t="str">
        <f>IFERROR(__xludf.DUMMYFUNCTION("""COMPUTED_VALUE"""),"Parma")</f>
        <v>Parma</v>
      </c>
      <c r="E37" s="15">
        <f>IFERROR(__xludf.DUMMYFUNCTION("""COMPUTED_VALUE"""),22.0)</f>
        <v>22</v>
      </c>
      <c r="F37" s="17">
        <f>IFERROR(__xludf.DUMMYFUNCTION("""COMPUTED_VALUE"""),0.037)</f>
        <v>0.037</v>
      </c>
      <c r="G37" s="15"/>
      <c r="H37" s="11"/>
      <c r="I37" s="15"/>
    </row>
    <row r="38">
      <c r="A38" s="11">
        <f>IFERROR(__xludf.DUMMYFUNCTION("""COMPUTED_VALUE"""),7484.0)</f>
        <v>7484</v>
      </c>
      <c r="B38" s="11" t="str">
        <f>IFERROR(__xludf.DUMMYFUNCTION("""COMPUTED_VALUE"""),"A")</f>
        <v>A</v>
      </c>
      <c r="C38" s="11" t="str">
        <f>IFERROR(__xludf.DUMMYFUNCTION("""COMPUTED_VALUE"""),"Adams A.")</f>
        <v>Adams A.</v>
      </c>
      <c r="D38" s="11" t="str">
        <f>IFERROR(__xludf.DUMMYFUNCTION("""COMPUTED_VALUE"""),"Venezia")</f>
        <v>Venezia</v>
      </c>
      <c r="E38" s="15">
        <f>IFERROR(__xludf.DUMMYFUNCTION("""COMPUTED_VALUE"""),21.0)</f>
        <v>21</v>
      </c>
      <c r="F38" s="17">
        <f>IFERROR(__xludf.DUMMYFUNCTION("""COMPUTED_VALUE"""),0.035)</f>
        <v>0.035</v>
      </c>
      <c r="G38" s="15"/>
      <c r="H38" s="11"/>
      <c r="I38" s="15"/>
    </row>
    <row r="39">
      <c r="A39" s="11">
        <f>IFERROR(__xludf.DUMMYFUNCTION("""COMPUTED_VALUE"""),7612.0)</f>
        <v>7612</v>
      </c>
      <c r="B39" s="11" t="str">
        <f>IFERROR(__xludf.DUMMYFUNCTION("""COMPUTED_VALUE"""),"A")</f>
        <v>A</v>
      </c>
      <c r="C39" s="11" t="str">
        <f>IFERROR(__xludf.DUMMYFUNCTION("""COMPUTED_VALUE"""),"Bobcek")</f>
        <v>Bobcek</v>
      </c>
      <c r="D39" s="11" t="str">
        <f>IFERROR(__xludf.DUMMYFUNCTION("""COMPUTED_VALUE"""),"Frosinone")</f>
        <v>Frosinone</v>
      </c>
      <c r="E39" s="15">
        <f>IFERROR(__xludf.DUMMYFUNCTION("""COMPUTED_VALUE"""),19.0)</f>
        <v>19</v>
      </c>
      <c r="F39" s="17">
        <f>IFERROR(__xludf.DUMMYFUNCTION("""COMPUTED_VALUE"""),0.031)</f>
        <v>0.031</v>
      </c>
      <c r="G39" s="15"/>
      <c r="H39" s="11"/>
      <c r="I39" s="15"/>
    </row>
    <row r="40">
      <c r="A40" s="11">
        <f>IFERROR(__xludf.DUMMYFUNCTION("""COMPUTED_VALUE"""),4359.0)</f>
        <v>4359</v>
      </c>
      <c r="B40" s="11" t="str">
        <f>IFERROR(__xludf.DUMMYFUNCTION("""COMPUTED_VALUE"""),"A")</f>
        <v>A</v>
      </c>
      <c r="C40" s="11" t="str">
        <f>IFERROR(__xludf.DUMMYFUNCTION("""COMPUTED_VALUE"""),"Piccoli")</f>
        <v>Piccoli</v>
      </c>
      <c r="D40" s="11" t="str">
        <f>IFERROR(__xludf.DUMMYFUNCTION("""COMPUTED_VALUE"""),"Bologna")</f>
        <v>Bologna</v>
      </c>
      <c r="E40" s="15">
        <f>IFERROR(__xludf.DUMMYFUNCTION("""COMPUTED_VALUE"""),17.0)</f>
        <v>17</v>
      </c>
      <c r="F40" s="17">
        <f>IFERROR(__xludf.DUMMYFUNCTION("""COMPUTED_VALUE"""),0.029)</f>
        <v>0.029</v>
      </c>
      <c r="G40" s="15"/>
      <c r="H40" s="11"/>
      <c r="I40" s="15"/>
    </row>
    <row r="41">
      <c r="A41" s="11">
        <f>IFERROR(__xludf.DUMMYFUNCTION("""COMPUTED_VALUE"""),7600.0)</f>
        <v>7600</v>
      </c>
      <c r="B41" s="11" t="str">
        <f>IFERROR(__xludf.DUMMYFUNCTION("""COMPUTED_VALUE"""),"A")</f>
        <v>A</v>
      </c>
      <c r="C41" s="11" t="str">
        <f>IFERROR(__xludf.DUMMYFUNCTION("""COMPUTED_VALUE"""),"Osmajic")</f>
        <v>Osmajic</v>
      </c>
      <c r="D41" s="11" t="str">
        <f>IFERROR(__xludf.DUMMYFUNCTION("""COMPUTED_VALUE"""),"Genoa")</f>
        <v>Genoa</v>
      </c>
      <c r="E41" s="15">
        <f>IFERROR(__xludf.DUMMYFUNCTION("""COMPUTED_VALUE"""),17.0)</f>
        <v>17</v>
      </c>
      <c r="F41" s="17">
        <f>IFERROR(__xludf.DUMMYFUNCTION("""COMPUTED_VALUE"""),0.028)</f>
        <v>0.028</v>
      </c>
      <c r="G41" s="15"/>
      <c r="H41" s="11"/>
      <c r="I41" s="15"/>
    </row>
    <row r="42">
      <c r="A42" s="11">
        <f>IFERROR(__xludf.DUMMYFUNCTION("""COMPUTED_VALUE"""),2832.0)</f>
        <v>2832</v>
      </c>
      <c r="B42" s="11" t="str">
        <f>IFERROR(__xludf.DUMMYFUNCTION("""COMPUTED_VALUE"""),"A")</f>
        <v>A</v>
      </c>
      <c r="C42" s="11" t="str">
        <f>IFERROR(__xludf.DUMMYFUNCTION("""COMPUTED_VALUE"""),"Boga")</f>
        <v>Boga</v>
      </c>
      <c r="D42" s="11" t="str">
        <f>IFERROR(__xludf.DUMMYFUNCTION("""COMPUTED_VALUE"""),"Juventus")</f>
        <v>Juventus</v>
      </c>
      <c r="E42" s="15">
        <f>IFERROR(__xludf.DUMMYFUNCTION("""COMPUTED_VALUE"""),16.0)</f>
        <v>16</v>
      </c>
      <c r="F42" s="17">
        <f>IFERROR(__xludf.DUMMYFUNCTION("""COMPUTED_VALUE"""),0.027)</f>
        <v>0.027</v>
      </c>
      <c r="G42" s="15"/>
      <c r="H42" s="11"/>
      <c r="I42" s="15"/>
    </row>
    <row r="43">
      <c r="A43" s="11">
        <f>IFERROR(__xludf.DUMMYFUNCTION("""COMPUTED_VALUE"""),7623.0)</f>
        <v>7623</v>
      </c>
      <c r="B43" s="11" t="str">
        <f>IFERROR(__xludf.DUMMYFUNCTION("""COMPUTED_VALUE"""),"A")</f>
        <v>A</v>
      </c>
      <c r="C43" s="11" t="str">
        <f>IFERROR(__xludf.DUMMYFUNCTION("""COMPUTED_VALUE"""),"Gnonto")</f>
        <v>Gnonto</v>
      </c>
      <c r="D43" s="11" t="str">
        <f>IFERROR(__xludf.DUMMYFUNCTION("""COMPUTED_VALUE"""),"Fiorentina")</f>
        <v>Fiorentina</v>
      </c>
      <c r="E43" s="15">
        <f>IFERROR(__xludf.DUMMYFUNCTION("""COMPUTED_VALUE"""),15.0)</f>
        <v>15</v>
      </c>
      <c r="F43" s="17">
        <f>IFERROR(__xludf.DUMMYFUNCTION("""COMPUTED_VALUE"""),0.025)</f>
        <v>0.025</v>
      </c>
      <c r="G43" s="15"/>
      <c r="H43" s="11"/>
      <c r="I43" s="15"/>
    </row>
    <row r="44">
      <c r="A44" s="11">
        <f>IFERROR(__xludf.DUMMYFUNCTION("""COMPUTED_VALUE"""),2155.0)</f>
        <v>2155</v>
      </c>
      <c r="B44" s="11" t="str">
        <f>IFERROR(__xludf.DUMMYFUNCTION("""COMPUTED_VALUE"""),"A")</f>
        <v>A</v>
      </c>
      <c r="C44" s="13" t="str">
        <f>IFERROR(__xludf.DUMMYFUNCTION("""COMPUTED_VALUE"""),"Cutrone")</f>
        <v>Cutrone</v>
      </c>
      <c r="D44" s="11" t="str">
        <f>IFERROR(__xludf.DUMMYFUNCTION("""COMPUTED_VALUE"""),"Monza")</f>
        <v>Monza</v>
      </c>
      <c r="E44" s="15">
        <f>IFERROR(__xludf.DUMMYFUNCTION("""COMPUTED_VALUE"""),14.0)</f>
        <v>14</v>
      </c>
      <c r="F44" s="17">
        <f>IFERROR(__xludf.DUMMYFUNCTION("""COMPUTED_VALUE"""),0.023)</f>
        <v>0.023</v>
      </c>
      <c r="G44" s="15"/>
      <c r="H44" s="11"/>
      <c r="I44" s="15"/>
    </row>
    <row r="45">
      <c r="A45" s="11">
        <f>IFERROR(__xludf.DUMMYFUNCTION("""COMPUTED_VALUE"""),6530.0)</f>
        <v>6530</v>
      </c>
      <c r="B45" s="11" t="str">
        <f>IFERROR(__xludf.DUMMYFUNCTION("""COMPUTED_VALUE"""),"A")</f>
        <v>A</v>
      </c>
      <c r="C45" s="11" t="str">
        <f>IFERROR(__xludf.DUMMYFUNCTION("""COMPUTED_VALUE"""),"Ghedjemis")</f>
        <v>Ghedjemis</v>
      </c>
      <c r="D45" s="11" t="str">
        <f>IFERROR(__xludf.DUMMYFUNCTION("""COMPUTED_VALUE"""),"Frosinone")</f>
        <v>Frosinone</v>
      </c>
      <c r="E45" s="15">
        <f>IFERROR(__xludf.DUMMYFUNCTION("""COMPUTED_VALUE"""),14.0)</f>
        <v>14</v>
      </c>
      <c r="F45" s="17">
        <f>IFERROR(__xludf.DUMMYFUNCTION("""COMPUTED_VALUE"""),0.023)</f>
        <v>0.023</v>
      </c>
      <c r="G45" s="15"/>
      <c r="H45" s="11" t="str">
        <f>IFERROR(__xludf.DUMMYFUNCTION("""COMPUTED_VALUE"""),"⭐")</f>
        <v>⭐</v>
      </c>
      <c r="I45" s="15"/>
    </row>
    <row r="46">
      <c r="A46" s="11">
        <f>IFERROR(__xludf.DUMMYFUNCTION("""COMPUTED_VALUE"""),5029.0)</f>
        <v>5029</v>
      </c>
      <c r="B46" s="11" t="str">
        <f>IFERROR(__xludf.DUMMYFUNCTION("""COMPUTED_VALUE"""),"A")</f>
        <v>A</v>
      </c>
      <c r="C46" s="11" t="str">
        <f>IFERROR(__xludf.DUMMYFUNCTION("""COMPUTED_VALUE"""),"Geubbels")</f>
        <v>Geubbels</v>
      </c>
      <c r="D46" s="11" t="str">
        <f>IFERROR(__xludf.DUMMYFUNCTION("""COMPUTED_VALUE"""),"Lecce")</f>
        <v>Lecce</v>
      </c>
      <c r="E46" s="15">
        <f>IFERROR(__xludf.DUMMYFUNCTION("""COMPUTED_VALUE"""),14.0)</f>
        <v>14</v>
      </c>
      <c r="F46" s="17">
        <f>IFERROR(__xludf.DUMMYFUNCTION("""COMPUTED_VALUE"""),0.023)</f>
        <v>0.023</v>
      </c>
      <c r="G46" s="15"/>
      <c r="H46" s="11"/>
      <c r="I46" s="15"/>
    </row>
    <row r="47">
      <c r="A47" s="11">
        <f>IFERROR(__xludf.DUMMYFUNCTION("""COMPUTED_VALUE"""),6204.0)</f>
        <v>6204</v>
      </c>
      <c r="B47" s="11" t="str">
        <f>IFERROR(__xludf.DUMMYFUNCTION("""COMPUTED_VALUE"""),"A")</f>
        <v>A</v>
      </c>
      <c r="C47" s="11" t="str">
        <f>IFERROR(__xludf.DUMMYFUNCTION("""COMPUTED_VALUE"""),"Kvernadze")</f>
        <v>Kvernadze</v>
      </c>
      <c r="D47" s="11" t="str">
        <f>IFERROR(__xludf.DUMMYFUNCTION("""COMPUTED_VALUE"""),"Frosinone")</f>
        <v>Frosinone</v>
      </c>
      <c r="E47" s="15">
        <f>IFERROR(__xludf.DUMMYFUNCTION("""COMPUTED_VALUE"""),14.0)</f>
        <v>14</v>
      </c>
      <c r="F47" s="17">
        <f>IFERROR(__xludf.DUMMYFUNCTION("""COMPUTED_VALUE"""),0.024)</f>
        <v>0.024</v>
      </c>
      <c r="G47" s="15"/>
      <c r="H47" s="11"/>
      <c r="I47" s="15"/>
    </row>
    <row r="48">
      <c r="A48" s="11">
        <f>IFERROR(__xludf.DUMMYFUNCTION("""COMPUTED_VALUE"""),4896.0)</f>
        <v>4896</v>
      </c>
      <c r="B48" s="11" t="str">
        <f>IFERROR(__xludf.DUMMYFUNCTION("""COMPUTED_VALUE"""),"A")</f>
        <v>A</v>
      </c>
      <c r="C48" s="11" t="str">
        <f>IFERROR(__xludf.DUMMYFUNCTION("""COMPUTED_VALUE"""),"Maldini")</f>
        <v>Maldini</v>
      </c>
      <c r="D48" s="11" t="str">
        <f>IFERROR(__xludf.DUMMYFUNCTION("""COMPUTED_VALUE"""),"Cagliari")</f>
        <v>Cagliari</v>
      </c>
      <c r="E48" s="15">
        <f>IFERROR(__xludf.DUMMYFUNCTION("""COMPUTED_VALUE"""),13.0)</f>
        <v>13</v>
      </c>
      <c r="F48" s="17">
        <f>IFERROR(__xludf.DUMMYFUNCTION("""COMPUTED_VALUE"""),0.021)</f>
        <v>0.021</v>
      </c>
      <c r="G48" s="15"/>
      <c r="H48" s="11"/>
      <c r="I48" s="15"/>
    </row>
    <row r="49">
      <c r="A49" s="11">
        <f>IFERROR(__xludf.DUMMYFUNCTION("""COMPUTED_VALUE"""),6675.0)</f>
        <v>6675</v>
      </c>
      <c r="B49" s="11" t="str">
        <f>IFERROR(__xludf.DUMMYFUNCTION("""COMPUTED_VALUE"""),"A")</f>
        <v>A</v>
      </c>
      <c r="C49" s="11" t="str">
        <f>IFERROR(__xludf.DUMMYFUNCTION("""COMPUTED_VALUE"""),"Dovbyk")</f>
        <v>Dovbyk</v>
      </c>
      <c r="D49" s="11" t="str">
        <f>IFERROR(__xludf.DUMMYFUNCTION("""COMPUTED_VALUE"""),"Bologna")</f>
        <v>Bologna</v>
      </c>
      <c r="E49" s="15">
        <f>IFERROR(__xludf.DUMMYFUNCTION("""COMPUTED_VALUE"""),12.0)</f>
        <v>12</v>
      </c>
      <c r="F49" s="17">
        <f>IFERROR(__xludf.DUMMYFUNCTION("""COMPUTED_VALUE"""),0.02)</f>
        <v>0.02</v>
      </c>
      <c r="G49" s="15"/>
      <c r="H49" s="11"/>
      <c r="I49" s="15"/>
    </row>
    <row r="50">
      <c r="A50" s="11">
        <f>IFERROR(__xludf.DUMMYFUNCTION("""COMPUTED_VALUE"""),4463.0)</f>
        <v>4463</v>
      </c>
      <c r="B50" s="11" t="str">
        <f>IFERROR(__xludf.DUMMYFUNCTION("""COMPUTED_VALUE"""),"A")</f>
        <v>A</v>
      </c>
      <c r="C50" s="11" t="str">
        <f>IFERROR(__xludf.DUMMYFUNCTION("""COMPUTED_VALUE"""),"Esposito Se.")</f>
        <v>Esposito Se.</v>
      </c>
      <c r="D50" s="11" t="str">
        <f>IFERROR(__xludf.DUMMYFUNCTION("""COMPUTED_VALUE"""),"Sassuolo")</f>
        <v>Sassuolo</v>
      </c>
      <c r="E50" s="15">
        <f>IFERROR(__xludf.DUMMYFUNCTION("""COMPUTED_VALUE"""),12.0)</f>
        <v>12</v>
      </c>
      <c r="F50" s="17">
        <f>IFERROR(__xludf.DUMMYFUNCTION("""COMPUTED_VALUE"""),0.02)</f>
        <v>0.02</v>
      </c>
      <c r="G50" s="15"/>
      <c r="H50" s="11"/>
      <c r="I50" s="15"/>
    </row>
    <row r="51">
      <c r="A51" s="11">
        <f>IFERROR(__xludf.DUMMYFUNCTION("""COMPUTED_VALUE"""),5436.0)</f>
        <v>5436</v>
      </c>
      <c r="B51" s="11" t="str">
        <f>IFERROR(__xludf.DUMMYFUNCTION("""COMPUTED_VALUE"""),"A")</f>
        <v>A</v>
      </c>
      <c r="C51" s="11" t="str">
        <f>IFERROR(__xludf.DUMMYFUNCTION("""COMPUTED_VALUE"""),"Raimondo")</f>
        <v>Raimondo</v>
      </c>
      <c r="D51" s="11" t="str">
        <f>IFERROR(__xludf.DUMMYFUNCTION("""COMPUTED_VALUE"""),"Frosinone")</f>
        <v>Frosinone</v>
      </c>
      <c r="E51" s="15">
        <f>IFERROR(__xludf.DUMMYFUNCTION("""COMPUTED_VALUE"""),12.0)</f>
        <v>12</v>
      </c>
      <c r="F51" s="17">
        <f>IFERROR(__xludf.DUMMYFUNCTION("""COMPUTED_VALUE"""),0.02)</f>
        <v>0.02</v>
      </c>
      <c r="G51" s="15"/>
      <c r="H51" s="11"/>
      <c r="I51" s="15"/>
    </row>
    <row r="52">
      <c r="A52" s="11">
        <f>IFERROR(__xludf.DUMMYFUNCTION("""COMPUTED_VALUE"""),6831.0)</f>
        <v>6831</v>
      </c>
      <c r="B52" s="11" t="str">
        <f>IFERROR(__xludf.DUMMYFUNCTION("""COMPUTED_VALUE"""),"A")</f>
        <v>A</v>
      </c>
      <c r="C52" s="11" t="str">
        <f>IFERROR(__xludf.DUMMYFUNCTION("""COMPUTED_VALUE"""),"Neres")</f>
        <v>Neres</v>
      </c>
      <c r="D52" s="11" t="str">
        <f>IFERROR(__xludf.DUMMYFUNCTION("""COMPUTED_VALUE"""),"Napoli")</f>
        <v>Napoli</v>
      </c>
      <c r="E52" s="15">
        <f>IFERROR(__xludf.DUMMYFUNCTION("""COMPUTED_VALUE"""),12.0)</f>
        <v>12</v>
      </c>
      <c r="F52" s="17">
        <f>IFERROR(__xludf.DUMMYFUNCTION("""COMPUTED_VALUE"""),0.02)</f>
        <v>0.02</v>
      </c>
      <c r="G52" s="15"/>
      <c r="H52" s="11"/>
      <c r="I52" s="15"/>
    </row>
    <row r="53">
      <c r="A53" s="11">
        <f>IFERROR(__xludf.DUMMYFUNCTION("""COMPUTED_VALUE"""),6519.0)</f>
        <v>6519</v>
      </c>
      <c r="B53" s="11" t="str">
        <f>IFERROR(__xludf.DUMMYFUNCTION("""COMPUTED_VALUE"""),"A")</f>
        <v>A</v>
      </c>
      <c r="C53" s="11" t="str">
        <f>IFERROR(__xludf.DUMMYFUNCTION("""COMPUTED_VALUE"""),"Camarda")</f>
        <v>Camarda</v>
      </c>
      <c r="D53" s="11" t="str">
        <f>IFERROR(__xludf.DUMMYFUNCTION("""COMPUTED_VALUE"""),"Milan")</f>
        <v>Milan</v>
      </c>
      <c r="E53" s="15">
        <f>IFERROR(__xludf.DUMMYFUNCTION("""COMPUTED_VALUE"""),12.0)</f>
        <v>12</v>
      </c>
      <c r="F53" s="17">
        <f>IFERROR(__xludf.DUMMYFUNCTION("""COMPUTED_VALUE"""),0.02)</f>
        <v>0.02</v>
      </c>
      <c r="G53" s="15"/>
      <c r="H53" s="11"/>
      <c r="I53" s="15"/>
    </row>
    <row r="54">
      <c r="A54" s="11">
        <f>IFERROR(__xludf.DUMMYFUNCTION("""COMPUTED_VALUE"""),7620.0)</f>
        <v>7620</v>
      </c>
      <c r="B54" s="11" t="str">
        <f>IFERROR(__xludf.DUMMYFUNCTION("""COMPUTED_VALUE"""),"A")</f>
        <v>A</v>
      </c>
      <c r="C54" s="11" t="str">
        <f>IFERROR(__xludf.DUMMYFUNCTION("""COMPUTED_VALUE"""),"Zeballos")</f>
        <v>Zeballos</v>
      </c>
      <c r="D54" s="11" t="str">
        <f>IFERROR(__xludf.DUMMYFUNCTION("""COMPUTED_VALUE"""),"Monza")</f>
        <v>Monza</v>
      </c>
      <c r="E54" s="15">
        <f>IFERROR(__xludf.DUMMYFUNCTION("""COMPUTED_VALUE"""),11.0)</f>
        <v>11</v>
      </c>
      <c r="F54" s="17">
        <f>IFERROR(__xludf.DUMMYFUNCTION("""COMPUTED_VALUE"""),0.018)</f>
        <v>0.018</v>
      </c>
      <c r="G54" s="15"/>
      <c r="H54" s="11"/>
      <c r="I54" s="15"/>
    </row>
    <row r="55">
      <c r="A55" s="11">
        <f>IFERROR(__xludf.DUMMYFUNCTION("""COMPUTED_VALUE"""),6669.0)</f>
        <v>6669</v>
      </c>
      <c r="B55" s="11" t="str">
        <f>IFERROR(__xludf.DUMMYFUNCTION("""COMPUTED_VALUE"""),"A")</f>
        <v>A</v>
      </c>
      <c r="C55" s="11" t="str">
        <f>IFERROR(__xludf.DUMMYFUNCTION("""COMPUTED_VALUE"""),"Bonny")</f>
        <v>Bonny</v>
      </c>
      <c r="D55" s="11" t="str">
        <f>IFERROR(__xludf.DUMMYFUNCTION("""COMPUTED_VALUE"""),"Inter")</f>
        <v>Inter</v>
      </c>
      <c r="E55" s="15">
        <f>IFERROR(__xludf.DUMMYFUNCTION("""COMPUTED_VALUE"""),9.0)</f>
        <v>9</v>
      </c>
      <c r="F55" s="17">
        <f>IFERROR(__xludf.DUMMYFUNCTION("""COMPUTED_VALUE"""),0.015)</f>
        <v>0.015</v>
      </c>
      <c r="G55" s="15"/>
      <c r="H55" s="11"/>
      <c r="I55" s="15"/>
    </row>
    <row r="56">
      <c r="A56" s="11">
        <f>IFERROR(__xludf.DUMMYFUNCTION("""COMPUTED_VALUE"""),7449.0)</f>
        <v>7449</v>
      </c>
      <c r="B56" s="11" t="str">
        <f>IFERROR(__xludf.DUMMYFUNCTION("""COMPUTED_VALUE"""),"A")</f>
        <v>A</v>
      </c>
      <c r="C56" s="11" t="str">
        <f>IFERROR(__xludf.DUMMYFUNCTION("""COMPUTED_VALUE"""),"Rrahmani Al.")</f>
        <v>Rrahmani Al.</v>
      </c>
      <c r="D56" s="11" t="str">
        <f>IFERROR(__xludf.DUMMYFUNCTION("""COMPUTED_VALUE"""),"Venezia")</f>
        <v>Venezia</v>
      </c>
      <c r="E56" s="15">
        <f>IFERROR(__xludf.DUMMYFUNCTION("""COMPUTED_VALUE"""),8.0)</f>
        <v>8</v>
      </c>
      <c r="F56" s="17">
        <f>IFERROR(__xludf.DUMMYFUNCTION("""COMPUTED_VALUE"""),0.013)</f>
        <v>0.013</v>
      </c>
      <c r="G56" s="15"/>
      <c r="H56" s="11"/>
      <c r="I56" s="15"/>
    </row>
    <row r="57">
      <c r="A57" s="11">
        <f>IFERROR(__xludf.DUMMYFUNCTION("""COMPUTED_VALUE"""),6145.0)</f>
        <v>6145</v>
      </c>
      <c r="B57" s="11" t="str">
        <f>IFERROR(__xludf.DUMMYFUNCTION("""COMPUTED_VALUE"""),"A")</f>
        <v>A</v>
      </c>
      <c r="C57" s="11" t="str">
        <f>IFERROR(__xludf.DUMMYFUNCTION("""COMPUTED_VALUE"""),"Ngonge")</f>
        <v>Ngonge</v>
      </c>
      <c r="D57" s="11" t="str">
        <f>IFERROR(__xludf.DUMMYFUNCTION("""COMPUTED_VALUE"""),"Monza")</f>
        <v>Monza</v>
      </c>
      <c r="E57" s="15">
        <f>IFERROR(__xludf.DUMMYFUNCTION("""COMPUTED_VALUE"""),8.0)</f>
        <v>8</v>
      </c>
      <c r="F57" s="17">
        <f>IFERROR(__xludf.DUMMYFUNCTION("""COMPUTED_VALUE"""),0.013)</f>
        <v>0.013</v>
      </c>
      <c r="G57" s="15"/>
      <c r="H57" s="11"/>
      <c r="I57" s="15"/>
    </row>
    <row r="58">
      <c r="A58" s="11">
        <f>IFERROR(__xludf.DUMMYFUNCTION("""COMPUTED_VALUE"""),7602.0)</f>
        <v>7602</v>
      </c>
      <c r="B58" s="11" t="str">
        <f>IFERROR(__xludf.DUMMYFUNCTION("""COMPUTED_VALUE"""),"A")</f>
        <v>A</v>
      </c>
      <c r="C58" s="11" t="str">
        <f>IFERROR(__xludf.DUMMYFUNCTION("""COMPUTED_VALUE"""),"Fatah")</f>
        <v>Fatah</v>
      </c>
      <c r="D58" s="11" t="str">
        <f>IFERROR(__xludf.DUMMYFUNCTION("""COMPUTED_VALUE"""),"Lecce")</f>
        <v>Lecce</v>
      </c>
      <c r="E58" s="15">
        <f>IFERROR(__xludf.DUMMYFUNCTION("""COMPUTED_VALUE"""),8.0)</f>
        <v>8</v>
      </c>
      <c r="F58" s="17">
        <f>IFERROR(__xludf.DUMMYFUNCTION("""COMPUTED_VALUE"""),0.014)</f>
        <v>0.014</v>
      </c>
      <c r="G58" s="15"/>
      <c r="H58" s="11"/>
      <c r="I58" s="15"/>
    </row>
    <row r="59">
      <c r="A59" s="11">
        <f>IFERROR(__xludf.DUMMYFUNCTION("""COMPUTED_VALUE"""),608.0)</f>
        <v>608</v>
      </c>
      <c r="B59" s="11" t="str">
        <f>IFERROR(__xludf.DUMMYFUNCTION("""COMPUTED_VALUE"""),"A")</f>
        <v>A</v>
      </c>
      <c r="C59" s="11" t="str">
        <f>IFERROR(__xludf.DUMMYFUNCTION("""COMPUTED_VALUE"""),"Zapata D.")</f>
        <v>Zapata D.</v>
      </c>
      <c r="D59" s="11" t="str">
        <f>IFERROR(__xludf.DUMMYFUNCTION("""COMPUTED_VALUE"""),"Torino")</f>
        <v>Torino</v>
      </c>
      <c r="E59" s="15">
        <f>IFERROR(__xludf.DUMMYFUNCTION("""COMPUTED_VALUE"""),7.0)</f>
        <v>7</v>
      </c>
      <c r="F59" s="17">
        <f>IFERROR(__xludf.DUMMYFUNCTION("""COMPUTED_VALUE"""),0.012)</f>
        <v>0.012</v>
      </c>
      <c r="G59" s="15"/>
      <c r="H59" s="11"/>
      <c r="I59" s="15"/>
    </row>
    <row r="60">
      <c r="A60" s="11">
        <f>IFERROR(__xludf.DUMMYFUNCTION("""COMPUTED_VALUE"""),7610.0)</f>
        <v>7610</v>
      </c>
      <c r="B60" s="11" t="str">
        <f>IFERROR(__xludf.DUMMYFUNCTION("""COMPUTED_VALUE"""),"A")</f>
        <v>A</v>
      </c>
      <c r="C60" s="11" t="str">
        <f>IFERROR(__xludf.DUMMYFUNCTION("""COMPUTED_VALUE"""),"Birligea")</f>
        <v>Birligea</v>
      </c>
      <c r="D60" s="11" t="str">
        <f>IFERROR(__xludf.DUMMYFUNCTION("""COMPUTED_VALUE"""),"Frosinone")</f>
        <v>Frosinone</v>
      </c>
      <c r="E60" s="15">
        <f>IFERROR(__xludf.DUMMYFUNCTION("""COMPUTED_VALUE"""),7.0)</f>
        <v>7</v>
      </c>
      <c r="F60" s="17">
        <f>IFERROR(__xludf.DUMMYFUNCTION("""COMPUTED_VALUE"""),0.011)</f>
        <v>0.011</v>
      </c>
      <c r="G60" s="15"/>
      <c r="H60" s="11"/>
      <c r="I60" s="15"/>
    </row>
    <row r="61">
      <c r="A61" s="11">
        <f>IFERROR(__xludf.DUMMYFUNCTION("""COMPUTED_VALUE"""),7001.0)</f>
        <v>7001</v>
      </c>
      <c r="B61" s="11" t="str">
        <f>IFERROR(__xludf.DUMMYFUNCTION("""COMPUTED_VALUE"""),"A")</f>
        <v>A</v>
      </c>
      <c r="C61" s="11" t="str">
        <f>IFERROR(__xludf.DUMMYFUNCTION("""COMPUTED_VALUE"""),"N'Dri")</f>
        <v>N'Dri</v>
      </c>
      <c r="D61" s="11" t="str">
        <f>IFERROR(__xludf.DUMMYFUNCTION("""COMPUTED_VALUE"""),"Lecce")</f>
        <v>Lecce</v>
      </c>
      <c r="E61" s="15">
        <f>IFERROR(__xludf.DUMMYFUNCTION("""COMPUTED_VALUE"""),7.0)</f>
        <v>7</v>
      </c>
      <c r="F61" s="17">
        <f>IFERROR(__xludf.DUMMYFUNCTION("""COMPUTED_VALUE"""),0.012)</f>
        <v>0.012</v>
      </c>
      <c r="G61" s="15"/>
      <c r="H61" s="11"/>
      <c r="I61" s="15"/>
    </row>
    <row r="62">
      <c r="A62" s="11">
        <f>IFERROR(__xludf.DUMMYFUNCTION("""COMPUTED_VALUE"""),6215.0)</f>
        <v>6215</v>
      </c>
      <c r="B62" s="11" t="str">
        <f>IFERROR(__xludf.DUMMYFUNCTION("""COMPUTED_VALUE"""),"A")</f>
        <v>A</v>
      </c>
      <c r="C62" s="11" t="str">
        <f>IFERROR(__xludf.DUMMYFUNCTION("""COMPUTED_VALUE"""),"Lucca")</f>
        <v>Lucca</v>
      </c>
      <c r="D62" s="11" t="str">
        <f>IFERROR(__xludf.DUMMYFUNCTION("""COMPUTED_VALUE"""),"Napoli")</f>
        <v>Napoli</v>
      </c>
      <c r="E62" s="15">
        <f>IFERROR(__xludf.DUMMYFUNCTION("""COMPUTED_VALUE"""),7.0)</f>
        <v>7</v>
      </c>
      <c r="F62" s="17">
        <f>IFERROR(__xludf.DUMMYFUNCTION("""COMPUTED_VALUE"""),0.012)</f>
        <v>0.012</v>
      </c>
      <c r="G62" s="15"/>
      <c r="H62" s="11"/>
      <c r="I62" s="15"/>
    </row>
    <row r="63">
      <c r="A63" s="11">
        <f>IFERROR(__xludf.DUMMYFUNCTION("""COMPUTED_VALUE"""),7342.0)</f>
        <v>7342</v>
      </c>
      <c r="B63" s="11" t="str">
        <f>IFERROR(__xludf.DUMMYFUNCTION("""COMPUTED_VALUE"""),"A")</f>
        <v>A</v>
      </c>
      <c r="C63" s="11" t="str">
        <f>IFERROR(__xludf.DUMMYFUNCTION("""COMPUTED_VALUE"""),"Elphege")</f>
        <v>Elphege</v>
      </c>
      <c r="D63" s="11" t="str">
        <f>IFERROR(__xludf.DUMMYFUNCTION("""COMPUTED_VALUE"""),"Parma")</f>
        <v>Parma</v>
      </c>
      <c r="E63" s="15">
        <f>IFERROR(__xludf.DUMMYFUNCTION("""COMPUTED_VALUE"""),7.0)</f>
        <v>7</v>
      </c>
      <c r="F63" s="17">
        <f>IFERROR(__xludf.DUMMYFUNCTION("""COMPUTED_VALUE"""),0.011)</f>
        <v>0.011</v>
      </c>
      <c r="G63" s="15"/>
      <c r="H63" s="11"/>
      <c r="I63" s="15"/>
    </row>
    <row r="64">
      <c r="A64" s="11">
        <f>IFERROR(__xludf.DUMMYFUNCTION("""COMPUTED_VALUE"""),7561.0)</f>
        <v>7561</v>
      </c>
      <c r="B64" s="11" t="str">
        <f>IFERROR(__xludf.DUMMYFUNCTION("""COMPUTED_VALUE"""),"A")</f>
        <v>A</v>
      </c>
      <c r="C64" s="11" t="str">
        <f>IFERROR(__xludf.DUMMYFUNCTION("""COMPUTED_VALUE"""),"Lontani")</f>
        <v>Lontani</v>
      </c>
      <c r="D64" s="11" t="str">
        <f>IFERROR(__xludf.DUMMYFUNCTION("""COMPUTED_VALUE"""),"Parma")</f>
        <v>Parma</v>
      </c>
      <c r="E64" s="15">
        <f>IFERROR(__xludf.DUMMYFUNCTION("""COMPUTED_VALUE"""),7.0)</f>
        <v>7</v>
      </c>
      <c r="F64" s="17">
        <f>IFERROR(__xludf.DUMMYFUNCTION("""COMPUTED_VALUE"""),0.011)</f>
        <v>0.011</v>
      </c>
      <c r="G64" s="15"/>
      <c r="H64" s="11"/>
      <c r="I64" s="15"/>
    </row>
    <row r="65">
      <c r="A65" s="11">
        <f>IFERROR(__xludf.DUMMYFUNCTION("""COMPUTED_VALUE"""),7347.0)</f>
        <v>7347</v>
      </c>
      <c r="B65" s="11" t="str">
        <f>IFERROR(__xludf.DUMMYFUNCTION("""COMPUTED_VALUE"""),"A")</f>
        <v>A</v>
      </c>
      <c r="C65" s="11" t="str">
        <f>IFERROR(__xludf.DUMMYFUNCTION("""COMPUTED_VALUE"""),"Bowie")</f>
        <v>Bowie</v>
      </c>
      <c r="D65" s="11" t="str">
        <f>IFERROR(__xludf.DUMMYFUNCTION("""COMPUTED_VALUE"""),"Sassuolo")</f>
        <v>Sassuolo</v>
      </c>
      <c r="E65" s="15">
        <f>IFERROR(__xludf.DUMMYFUNCTION("""COMPUTED_VALUE"""),6.0)</f>
        <v>6</v>
      </c>
      <c r="F65" s="17">
        <f>IFERROR(__xludf.DUMMYFUNCTION("""COMPUTED_VALUE"""),0.01)</f>
        <v>0.01</v>
      </c>
      <c r="G65" s="15"/>
      <c r="H65" s="11"/>
      <c r="I65" s="15"/>
    </row>
    <row r="66">
      <c r="A66" s="11">
        <f>IFERROR(__xludf.DUMMYFUNCTION("""COMPUTED_VALUE"""),6904.0)</f>
        <v>6904</v>
      </c>
      <c r="B66" s="11" t="str">
        <f>IFERROR(__xludf.DUMMYFUNCTION("""COMPUTED_VALUE"""),"A")</f>
        <v>A</v>
      </c>
      <c r="C66" s="11" t="str">
        <f>IFERROR(__xludf.DUMMYFUNCTION("""COMPUTED_VALUE"""),"Yeboah J.")</f>
        <v>Yeboah J.</v>
      </c>
      <c r="D66" s="11" t="str">
        <f>IFERROR(__xludf.DUMMYFUNCTION("""COMPUTED_VALUE"""),"Venezia")</f>
        <v>Venezia</v>
      </c>
      <c r="E66" s="15">
        <f>IFERROR(__xludf.DUMMYFUNCTION("""COMPUTED_VALUE"""),6.0)</f>
        <v>6</v>
      </c>
      <c r="F66" s="17">
        <f>IFERROR(__xludf.DUMMYFUNCTION("""COMPUTED_VALUE"""),0.01)</f>
        <v>0.01</v>
      </c>
      <c r="G66" s="15"/>
      <c r="H66" s="11"/>
      <c r="I66" s="15"/>
    </row>
    <row r="67">
      <c r="A67" s="11">
        <f>IFERROR(__xludf.DUMMYFUNCTION("""COMPUTED_VALUE"""),6164.0)</f>
        <v>6164</v>
      </c>
      <c r="B67" s="11" t="str">
        <f>IFERROR(__xludf.DUMMYFUNCTION("""COMPUTED_VALUE"""),"A")</f>
        <v>A</v>
      </c>
      <c r="C67" s="11" t="str">
        <f>IFERROR(__xludf.DUMMYFUNCTION("""COMPUTED_VALUE"""),"Vitinha O.")</f>
        <v>Vitinha O.</v>
      </c>
      <c r="D67" s="11" t="str">
        <f>IFERROR(__xludf.DUMMYFUNCTION("""COMPUTED_VALUE"""),"Genoa")</f>
        <v>Genoa</v>
      </c>
      <c r="E67" s="15">
        <f>IFERROR(__xludf.DUMMYFUNCTION("""COMPUTED_VALUE"""),6.0)</f>
        <v>6</v>
      </c>
      <c r="F67" s="17">
        <f>IFERROR(__xludf.DUMMYFUNCTION("""COMPUTED_VALUE"""),0.01)</f>
        <v>0.01</v>
      </c>
      <c r="G67" s="15"/>
      <c r="H67" s="11"/>
      <c r="I67" s="15"/>
    </row>
    <row r="68">
      <c r="A68" s="11">
        <f>IFERROR(__xludf.DUMMYFUNCTION("""COMPUTED_VALUE"""),5336.0)</f>
        <v>5336</v>
      </c>
      <c r="B68" s="11" t="str">
        <f>IFERROR(__xludf.DUMMYFUNCTION("""COMPUTED_VALUE"""),"A")</f>
        <v>A</v>
      </c>
      <c r="C68" s="11" t="str">
        <f>IFERROR(__xludf.DUMMYFUNCTION("""COMPUTED_VALUE"""),"Nzola")</f>
        <v>Nzola</v>
      </c>
      <c r="D68" s="11" t="str">
        <f>IFERROR(__xludf.DUMMYFUNCTION("""COMPUTED_VALUE"""),"Cagliari")</f>
        <v>Cagliari</v>
      </c>
      <c r="E68" s="15">
        <f>IFERROR(__xludf.DUMMYFUNCTION("""COMPUTED_VALUE"""),6.0)</f>
        <v>6</v>
      </c>
      <c r="F68" s="17">
        <f>IFERROR(__xludf.DUMMYFUNCTION("""COMPUTED_VALUE"""),0.01)</f>
        <v>0.01</v>
      </c>
      <c r="G68" s="15"/>
      <c r="H68" s="11"/>
      <c r="I68" s="15"/>
    </row>
    <row r="69">
      <c r="A69" s="11">
        <f>IFERROR(__xludf.DUMMYFUNCTION("""COMPUTED_VALUE"""),6822.0)</f>
        <v>6822</v>
      </c>
      <c r="B69" s="11" t="str">
        <f>IFERROR(__xludf.DUMMYFUNCTION("""COMPUTED_VALUE"""),"A")</f>
        <v>A</v>
      </c>
      <c r="C69" s="11" t="str">
        <f>IFERROR(__xludf.DUMMYFUNCTION("""COMPUTED_VALUE"""),"Ekhator")</f>
        <v>Ekhator</v>
      </c>
      <c r="D69" s="11" t="str">
        <f>IFERROR(__xludf.DUMMYFUNCTION("""COMPUTED_VALUE"""),"Juventus")</f>
        <v>Juventus</v>
      </c>
      <c r="E69" s="15">
        <f>IFERROR(__xludf.DUMMYFUNCTION("""COMPUTED_VALUE"""),6.0)</f>
        <v>6</v>
      </c>
      <c r="F69" s="17">
        <f>IFERROR(__xludf.DUMMYFUNCTION("""COMPUTED_VALUE"""),0.01)</f>
        <v>0.01</v>
      </c>
      <c r="G69" s="15"/>
      <c r="H69" s="11"/>
      <c r="I69" s="15"/>
    </row>
    <row r="70">
      <c r="A70" s="11">
        <f>IFERROR(__xludf.DUMMYFUNCTION("""COMPUTED_VALUE"""),5918.0)</f>
        <v>5918</v>
      </c>
      <c r="B70" s="11" t="str">
        <f>IFERROR(__xludf.DUMMYFUNCTION("""COMPUTED_VALUE"""),"A")</f>
        <v>A</v>
      </c>
      <c r="C70" s="11" t="str">
        <f>IFERROR(__xludf.DUMMYFUNCTION("""COMPUTED_VALUE"""),"Sulemana K.")</f>
        <v>Sulemana K.</v>
      </c>
      <c r="D70" s="11" t="str">
        <f>IFERROR(__xludf.DUMMYFUNCTION("""COMPUTED_VALUE"""),"Atalanta")</f>
        <v>Atalanta</v>
      </c>
      <c r="E70" s="15">
        <f>IFERROR(__xludf.DUMMYFUNCTION("""COMPUTED_VALUE"""),5.0)</f>
        <v>5</v>
      </c>
      <c r="F70" s="17">
        <f>IFERROR(__xludf.DUMMYFUNCTION("""COMPUTED_VALUE"""),0.008)</f>
        <v>0.008</v>
      </c>
      <c r="G70" s="15"/>
      <c r="H70" s="11"/>
      <c r="I70" s="15"/>
    </row>
    <row r="71">
      <c r="A71" s="11">
        <f>IFERROR(__xludf.DUMMYFUNCTION("""COMPUTED_VALUE"""),6556.0)</f>
        <v>6556</v>
      </c>
      <c r="B71" s="11" t="str">
        <f>IFERROR(__xludf.DUMMYFUNCTION("""COMPUTED_VALUE"""),"A")</f>
        <v>A</v>
      </c>
      <c r="C71" s="11" t="str">
        <f>IFERROR(__xludf.DUMMYFUNCTION("""COMPUTED_VALUE"""),"Noslin")</f>
        <v>Noslin</v>
      </c>
      <c r="D71" s="11" t="str">
        <f>IFERROR(__xludf.DUMMYFUNCTION("""COMPUTED_VALUE"""),"Lazio")</f>
        <v>Lazio</v>
      </c>
      <c r="E71" s="15">
        <f>IFERROR(__xludf.DUMMYFUNCTION("""COMPUTED_VALUE"""),5.0)</f>
        <v>5</v>
      </c>
      <c r="F71" s="17">
        <f>IFERROR(__xludf.DUMMYFUNCTION("""COMPUTED_VALUE"""),0.008)</f>
        <v>0.008</v>
      </c>
      <c r="G71" s="15"/>
      <c r="H71" s="11"/>
      <c r="I71" s="15"/>
    </row>
    <row r="72">
      <c r="A72" s="11">
        <f>IFERROR(__xludf.DUMMYFUNCTION("""COMPUTED_VALUE"""),5882.0)</f>
        <v>5882</v>
      </c>
      <c r="B72" s="11" t="str">
        <f>IFERROR(__xludf.DUMMYFUNCTION("""COMPUTED_VALUE"""),"A")</f>
        <v>A</v>
      </c>
      <c r="C72" s="11" t="str">
        <f>IFERROR(__xludf.DUMMYFUNCTION("""COMPUTED_VALUE"""),"Mota")</f>
        <v>Mota</v>
      </c>
      <c r="D72" s="11" t="str">
        <f>IFERROR(__xludf.DUMMYFUNCTION("""COMPUTED_VALUE"""),"Monza")</f>
        <v>Monza</v>
      </c>
      <c r="E72" s="15">
        <f>IFERROR(__xludf.DUMMYFUNCTION("""COMPUTED_VALUE"""),5.0)</f>
        <v>5</v>
      </c>
      <c r="F72" s="17">
        <f>IFERROR(__xludf.DUMMYFUNCTION("""COMPUTED_VALUE"""),0.008)</f>
        <v>0.008</v>
      </c>
      <c r="G72" s="15"/>
      <c r="H72" s="11"/>
      <c r="I72" s="15"/>
    </row>
    <row r="73">
      <c r="A73" s="11">
        <f>IFERROR(__xludf.DUMMYFUNCTION("""COMPUTED_VALUE"""),7349.0)</f>
        <v>7349</v>
      </c>
      <c r="B73" s="11" t="str">
        <f>IFERROR(__xludf.DUMMYFUNCTION("""COMPUTED_VALUE"""),"A")</f>
        <v>A</v>
      </c>
      <c r="C73" s="11" t="str">
        <f>IFERROR(__xludf.DUMMYFUNCTION("""COMPUTED_VALUE"""),"Kulenovic")</f>
        <v>Kulenovic</v>
      </c>
      <c r="D73" s="11" t="str">
        <f>IFERROR(__xludf.DUMMYFUNCTION("""COMPUTED_VALUE"""),"Torino")</f>
        <v>Torino</v>
      </c>
      <c r="E73" s="15">
        <f>IFERROR(__xludf.DUMMYFUNCTION("""COMPUTED_VALUE"""),5.0)</f>
        <v>5</v>
      </c>
      <c r="F73" s="17">
        <f>IFERROR(__xludf.DUMMYFUNCTION("""COMPUTED_VALUE"""),0.009)</f>
        <v>0.009</v>
      </c>
      <c r="G73" s="15"/>
      <c r="H73" s="11"/>
      <c r="I73" s="15"/>
    </row>
    <row r="74">
      <c r="A74" s="11">
        <f>IFERROR(__xludf.DUMMYFUNCTION("""COMPUTED_VALUE"""),4387.0)</f>
        <v>4387</v>
      </c>
      <c r="B74" s="11" t="str">
        <f>IFERROR(__xludf.DUMMYFUNCTION("""COMPUTED_VALUE"""),"A")</f>
        <v>A</v>
      </c>
      <c r="C74" s="11" t="str">
        <f>IFERROR(__xludf.DUMMYFUNCTION("""COMPUTED_VALUE"""),"Adorante")</f>
        <v>Adorante</v>
      </c>
      <c r="D74" s="11" t="str">
        <f>IFERROR(__xludf.DUMMYFUNCTION("""COMPUTED_VALUE"""),"Venezia")</f>
        <v>Venezia</v>
      </c>
      <c r="E74" s="15">
        <f>IFERROR(__xludf.DUMMYFUNCTION("""COMPUTED_VALUE"""),5.0)</f>
        <v>5</v>
      </c>
      <c r="F74" s="17">
        <f>IFERROR(__xludf.DUMMYFUNCTION("""COMPUTED_VALUE"""),0.008)</f>
        <v>0.008</v>
      </c>
      <c r="G74" s="15"/>
      <c r="H74" s="11"/>
      <c r="I74" s="15"/>
    </row>
    <row r="75">
      <c r="A75" s="11">
        <f>IFERROR(__xludf.DUMMYFUNCTION("""COMPUTED_VALUE"""),7162.0)</f>
        <v>7162</v>
      </c>
      <c r="B75" s="11" t="str">
        <f>IFERROR(__xludf.DUMMYFUNCTION("""COMPUTED_VALUE"""),"A")</f>
        <v>A</v>
      </c>
      <c r="C75" s="11" t="str">
        <f>IFERROR(__xludf.DUMMYFUNCTION("""COMPUTED_VALUE"""),"Giovane")</f>
        <v>Giovane</v>
      </c>
      <c r="D75" s="11" t="str">
        <f>IFERROR(__xludf.DUMMYFUNCTION("""COMPUTED_VALUE"""),"Napoli")</f>
        <v>Napoli</v>
      </c>
      <c r="E75" s="15">
        <f>IFERROR(__xludf.DUMMYFUNCTION("""COMPUTED_VALUE"""),4.0)</f>
        <v>4</v>
      </c>
      <c r="F75" s="17">
        <f>IFERROR(__xludf.DUMMYFUNCTION("""COMPUTED_VALUE"""),0.007)</f>
        <v>0.007</v>
      </c>
      <c r="G75" s="15"/>
      <c r="H75" s="11"/>
      <c r="I75" s="15"/>
    </row>
    <row r="76">
      <c r="A76" s="11">
        <f>IFERROR(__xludf.DUMMYFUNCTION("""COMPUTED_VALUE"""),7213.0)</f>
        <v>7213</v>
      </c>
      <c r="B76" s="11" t="str">
        <f>IFERROR(__xludf.DUMMYFUNCTION("""COMPUTED_VALUE"""),"A")</f>
        <v>A</v>
      </c>
      <c r="C76" s="11" t="str">
        <f>IFERROR(__xludf.DUMMYFUNCTION("""COMPUTED_VALUE"""),"Frigan")</f>
        <v>Frigan</v>
      </c>
      <c r="D76" s="11" t="str">
        <f>IFERROR(__xludf.DUMMYFUNCTION("""COMPUTED_VALUE"""),"Parma")</f>
        <v>Parma</v>
      </c>
      <c r="E76" s="15">
        <f>IFERROR(__xludf.DUMMYFUNCTION("""COMPUTED_VALUE"""),4.0)</f>
        <v>4</v>
      </c>
      <c r="F76" s="17">
        <f>IFERROR(__xludf.DUMMYFUNCTION("""COMPUTED_VALUE"""),0.006)</f>
        <v>0.006</v>
      </c>
      <c r="G76" s="15"/>
      <c r="H76" s="11"/>
      <c r="I76" s="15"/>
    </row>
    <row r="77">
      <c r="A77" s="11">
        <f>IFERROR(__xludf.DUMMYFUNCTION("""COMPUTED_VALUE"""),7272.0)</f>
        <v>7272</v>
      </c>
      <c r="B77" s="11" t="str">
        <f>IFERROR(__xludf.DUMMYFUNCTION("""COMPUTED_VALUE"""),"A")</f>
        <v>A</v>
      </c>
      <c r="C77" s="11" t="str">
        <f>IFERROR(__xludf.DUMMYFUNCTION("""COMPUTED_VALUE"""),"Gueye")</f>
        <v>Gueye</v>
      </c>
      <c r="D77" s="11" t="str">
        <f>IFERROR(__xludf.DUMMYFUNCTION("""COMPUTED_VALUE"""),"Udinese")</f>
        <v>Udinese</v>
      </c>
      <c r="E77" s="15">
        <f>IFERROR(__xludf.DUMMYFUNCTION("""COMPUTED_VALUE"""),4.0)</f>
        <v>4</v>
      </c>
      <c r="F77" s="17">
        <f>IFERROR(__xludf.DUMMYFUNCTION("""COMPUTED_VALUE"""),0.007)</f>
        <v>0.007</v>
      </c>
      <c r="G77" s="15"/>
      <c r="H77" s="11"/>
      <c r="I77" s="15"/>
    </row>
    <row r="78">
      <c r="A78" s="11">
        <f>IFERROR(__xludf.DUMMYFUNCTION("""COMPUTED_VALUE"""),7453.0)</f>
        <v>7453</v>
      </c>
      <c r="B78" s="11" t="str">
        <f>IFERROR(__xludf.DUMMYFUNCTION("""COMPUTED_VALUE"""),"A")</f>
        <v>A</v>
      </c>
      <c r="C78" s="11" t="str">
        <f>IFERROR(__xludf.DUMMYFUNCTION("""COMPUTED_VALUE"""),"Havel")</f>
        <v>Havel</v>
      </c>
      <c r="D78" s="11" t="str">
        <f>IFERROR(__xludf.DUMMYFUNCTION("""COMPUTED_VALUE"""),"Genoa")</f>
        <v>Genoa</v>
      </c>
      <c r="E78" s="15">
        <f>IFERROR(__xludf.DUMMYFUNCTION("""COMPUTED_VALUE"""),3.0)</f>
        <v>3</v>
      </c>
      <c r="F78" s="17">
        <f>IFERROR(__xludf.DUMMYFUNCTION("""COMPUTED_VALUE"""),0.005)</f>
        <v>0.005</v>
      </c>
      <c r="G78" s="15"/>
      <c r="H78" s="11"/>
      <c r="I78" s="15"/>
    </row>
    <row r="79">
      <c r="A79" s="11">
        <f>IFERROR(__xludf.DUMMYFUNCTION("""COMPUTED_VALUE"""),7546.0)</f>
        <v>7546</v>
      </c>
      <c r="B79" s="11" t="str">
        <f>IFERROR(__xludf.DUMMYFUNCTION("""COMPUTED_VALUE"""),"A")</f>
        <v>A</v>
      </c>
      <c r="C79" s="11" t="str">
        <f>IFERROR(__xludf.DUMMYFUNCTION("""COMPUTED_VALUE"""),"Robinson J.")</f>
        <v>Robinson J.</v>
      </c>
      <c r="D79" s="11" t="str">
        <f>IFERROR(__xludf.DUMMYFUNCTION("""COMPUTED_VALUE"""),"Monza")</f>
        <v>Monza</v>
      </c>
      <c r="E79" s="15">
        <f>IFERROR(__xludf.DUMMYFUNCTION("""COMPUTED_VALUE"""),3.0)</f>
        <v>3</v>
      </c>
      <c r="F79" s="17">
        <f>IFERROR(__xludf.DUMMYFUNCTION("""COMPUTED_VALUE"""),0.005)</f>
        <v>0.005</v>
      </c>
      <c r="G79" s="15"/>
      <c r="H79" s="11"/>
      <c r="I79" s="15"/>
    </row>
    <row r="80">
      <c r="A80" s="11">
        <f>IFERROR(__xludf.DUMMYFUNCTION("""COMPUTED_VALUE"""),7627.0)</f>
        <v>7627</v>
      </c>
      <c r="B80" s="11" t="str">
        <f>IFERROR(__xludf.DUMMYFUNCTION("""COMPUTED_VALUE"""),"A")</f>
        <v>A</v>
      </c>
      <c r="C80" s="11" t="str">
        <f>IFERROR(__xludf.DUMMYFUNCTION("""COMPUTED_VALUE"""),"Enem")</f>
        <v>Enem</v>
      </c>
      <c r="D80" s="11" t="str">
        <f>IFERROR(__xludf.DUMMYFUNCTION("""COMPUTED_VALUE"""),"Bologna")</f>
        <v>Bologna</v>
      </c>
      <c r="E80" s="15">
        <f>IFERROR(__xludf.DUMMYFUNCTION("""COMPUTED_VALUE"""),2.0)</f>
        <v>2</v>
      </c>
      <c r="F80" s="17">
        <f>IFERROR(__xludf.DUMMYFUNCTION("""COMPUTED_VALUE"""),0.004)</f>
        <v>0.004</v>
      </c>
      <c r="G80" s="15"/>
      <c r="H80" s="11"/>
      <c r="I80" s="15"/>
    </row>
    <row r="81">
      <c r="A81" s="11">
        <f>IFERROR(__xludf.DUMMYFUNCTION("""COMPUTED_VALUE"""),7161.0)</f>
        <v>7161</v>
      </c>
      <c r="B81" s="11" t="str">
        <f>IFERROR(__xludf.DUMMYFUNCTION("""COMPUTED_VALUE"""),"A")</f>
        <v>A</v>
      </c>
      <c r="C81" s="11" t="str">
        <f>IFERROR(__xludf.DUMMYFUNCTION("""COMPUTED_VALUE"""),"Bayo V.")</f>
        <v>Bayo V.</v>
      </c>
      <c r="D81" s="11" t="str">
        <f>IFERROR(__xludf.DUMMYFUNCTION("""COMPUTED_VALUE"""),"Udinese")</f>
        <v>Udinese</v>
      </c>
      <c r="E81" s="15">
        <f>IFERROR(__xludf.DUMMYFUNCTION("""COMPUTED_VALUE"""),2.0)</f>
        <v>2</v>
      </c>
      <c r="F81" s="17">
        <f>IFERROR(__xludf.DUMMYFUNCTION("""COMPUTED_VALUE"""),0.003)</f>
        <v>0.003</v>
      </c>
      <c r="G81" s="15"/>
      <c r="H81" s="11"/>
      <c r="I81" s="15"/>
    </row>
    <row r="82">
      <c r="A82" s="11">
        <f>IFERROR(__xludf.DUMMYFUNCTION("""COMPUTED_VALUE"""),7622.0)</f>
        <v>7622</v>
      </c>
      <c r="B82" s="11" t="str">
        <f>IFERROR(__xludf.DUMMYFUNCTION("""COMPUTED_VALUE"""),"A")</f>
        <v>A</v>
      </c>
      <c r="C82" s="11" t="str">
        <f>IFERROR(__xludf.DUMMYFUNCTION("""COMPUTED_VALUE"""),"Robinho Junior")</f>
        <v>Robinho Junior</v>
      </c>
      <c r="D82" s="11" t="str">
        <f>IFERROR(__xludf.DUMMYFUNCTION("""COMPUTED_VALUE"""),"Genoa")</f>
        <v>Genoa</v>
      </c>
      <c r="E82" s="15">
        <f>IFERROR(__xludf.DUMMYFUNCTION("""COMPUTED_VALUE"""),2.0)</f>
        <v>2</v>
      </c>
      <c r="F82" s="17">
        <f>IFERROR(__xludf.DUMMYFUNCTION("""COMPUTED_VALUE"""),0.003)</f>
        <v>0.003</v>
      </c>
      <c r="G82" s="15"/>
      <c r="H82" s="11"/>
      <c r="I82" s="15"/>
    </row>
    <row r="83">
      <c r="A83" s="11">
        <f>IFERROR(__xludf.DUMMYFUNCTION("""COMPUTED_VALUE"""),7317.0)</f>
        <v>7317</v>
      </c>
      <c r="B83" s="11" t="str">
        <f>IFERROR(__xludf.DUMMYFUNCTION("""COMPUTED_VALUE"""),"A")</f>
        <v>A</v>
      </c>
      <c r="C83" s="11" t="str">
        <f>IFERROR(__xludf.DUMMYFUNCTION("""COMPUTED_VALUE"""),"Trepy")</f>
        <v>Trepy</v>
      </c>
      <c r="D83" s="11" t="str">
        <f>IFERROR(__xludf.DUMMYFUNCTION("""COMPUTED_VALUE"""),"Cagliari")</f>
        <v>Cagliari</v>
      </c>
      <c r="E83" s="15">
        <f>IFERROR(__xludf.DUMMYFUNCTION("""COMPUTED_VALUE"""),1.0)</f>
        <v>1</v>
      </c>
      <c r="F83" s="17">
        <f>IFERROR(__xludf.DUMMYFUNCTION("""COMPUTED_VALUE"""),0.002)</f>
        <v>0.002</v>
      </c>
      <c r="G83" s="15"/>
      <c r="H83" s="11"/>
      <c r="I83" s="15"/>
    </row>
    <row r="84">
      <c r="A84" s="11">
        <f>IFERROR(__xludf.DUMMYFUNCTION("""COMPUTED_VALUE"""),7408.0)</f>
        <v>7408</v>
      </c>
      <c r="B84" s="11" t="str">
        <f>IFERROR(__xludf.DUMMYFUNCTION("""COMPUTED_VALUE"""),"A")</f>
        <v>A</v>
      </c>
      <c r="C84" s="11" t="str">
        <f>IFERROR(__xludf.DUMMYFUNCTION("""COMPUTED_VALUE"""),"Lisman")</f>
        <v>Lisman</v>
      </c>
      <c r="D84" s="11" t="str">
        <f>IFERROR(__xludf.DUMMYFUNCTION("""COMPUTED_VALUE"""),"Venezia")</f>
        <v>Venezia</v>
      </c>
      <c r="E84" s="15">
        <f>IFERROR(__xludf.DUMMYFUNCTION("""COMPUTED_VALUE"""),1.0)</f>
        <v>1</v>
      </c>
      <c r="F84" s="17">
        <f>IFERROR(__xludf.DUMMYFUNCTION("""COMPUTED_VALUE"""),0.001)</f>
        <v>0.001</v>
      </c>
      <c r="G84" s="15"/>
      <c r="H84" s="11"/>
      <c r="I84" s="15"/>
    </row>
    <row r="85">
      <c r="A85" s="11">
        <f>IFERROR(__xludf.DUMMYFUNCTION("""COMPUTED_VALUE"""),7482.0)</f>
        <v>7482</v>
      </c>
      <c r="B85" s="11" t="str">
        <f>IFERROR(__xludf.DUMMYFUNCTION("""COMPUTED_VALUE"""),"A")</f>
        <v>A</v>
      </c>
      <c r="C85" s="11" t="str">
        <f>IFERROR(__xludf.DUMMYFUNCTION("""COMPUTED_VALUE"""),"Lauberbach")</f>
        <v>Lauberbach</v>
      </c>
      <c r="D85" s="11" t="str">
        <f>IFERROR(__xludf.DUMMYFUNCTION("""COMPUTED_VALUE"""),"Venezia")</f>
        <v>Venezia</v>
      </c>
      <c r="E85" s="15">
        <f>IFERROR(__xludf.DUMMYFUNCTION("""COMPUTED_VALUE"""),1.0)</f>
        <v>1</v>
      </c>
      <c r="F85" s="17">
        <f>IFERROR(__xludf.DUMMYFUNCTION("""COMPUTED_VALUE"""),0.001)</f>
        <v>0.001</v>
      </c>
      <c r="G85" s="15"/>
      <c r="H85" s="11"/>
      <c r="I85" s="15"/>
    </row>
    <row r="86">
      <c r="A86" s="11">
        <f>IFERROR(__xludf.DUMMYFUNCTION("""COMPUTED_VALUE"""),7568.0)</f>
        <v>7568</v>
      </c>
      <c r="B86" s="11" t="str">
        <f>IFERROR(__xludf.DUMMYFUNCTION("""COMPUTED_VALUE"""),"A")</f>
        <v>A</v>
      </c>
      <c r="C86" s="11" t="str">
        <f>IFERROR(__xludf.DUMMYFUNCTION("""COMPUTED_VALUE"""),"De Martis")</f>
        <v>De Martis</v>
      </c>
      <c r="D86" s="11" t="str">
        <f>IFERROR(__xludf.DUMMYFUNCTION("""COMPUTED_VALUE"""),"Parma")</f>
        <v>Parma</v>
      </c>
      <c r="E86" s="15">
        <f>IFERROR(__xludf.DUMMYFUNCTION("""COMPUTED_VALUE"""),1.0)</f>
        <v>1</v>
      </c>
      <c r="F86" s="17">
        <f>IFERROR(__xludf.DUMMYFUNCTION("""COMPUTED_VALUE"""),0.001)</f>
        <v>0.001</v>
      </c>
      <c r="G86" s="15"/>
      <c r="H86" s="11"/>
      <c r="I86" s="15"/>
    </row>
    <row r="87">
      <c r="A87" s="11">
        <f>IFERROR(__xludf.DUMMYFUNCTION("""COMPUTED_VALUE"""),2012.0)</f>
        <v>2012</v>
      </c>
      <c r="B87" s="11" t="str">
        <f>IFERROR(__xludf.DUMMYFUNCTION("""COMPUTED_VALUE"""),"A")</f>
        <v>A</v>
      </c>
      <c r="C87" s="11" t="str">
        <f>IFERROR(__xludf.DUMMYFUNCTION("""COMPUTED_VALUE"""),"Milik")</f>
        <v>Milik</v>
      </c>
      <c r="D87" s="11" t="str">
        <f>IFERROR(__xludf.DUMMYFUNCTION("""COMPUTED_VALUE"""),"Juventus")</f>
        <v>Juventus</v>
      </c>
      <c r="E87" s="15"/>
      <c r="F87" s="17"/>
      <c r="G87" s="15"/>
      <c r="H87" s="11"/>
      <c r="I87" s="15"/>
    </row>
    <row r="88">
      <c r="E88" s="15"/>
      <c r="F88" s="17"/>
      <c r="G88" s="15"/>
      <c r="I88" s="15"/>
    </row>
    <row r="89">
      <c r="E89" s="15"/>
      <c r="F89" s="17"/>
      <c r="G89" s="15"/>
      <c r="I89" s="15"/>
    </row>
    <row r="90">
      <c r="E90" s="15"/>
      <c r="F90" s="17"/>
      <c r="G90" s="15"/>
      <c r="I90" s="15"/>
    </row>
    <row r="91">
      <c r="E91" s="15"/>
      <c r="F91" s="17"/>
      <c r="G91" s="15"/>
      <c r="I91" s="15"/>
    </row>
    <row r="92">
      <c r="E92" s="15"/>
      <c r="F92" s="17"/>
      <c r="G92" s="15"/>
      <c r="I92" s="15"/>
    </row>
    <row r="93">
      <c r="E93" s="15"/>
      <c r="F93" s="17"/>
      <c r="G93" s="15"/>
      <c r="I93" s="15"/>
    </row>
    <row r="94">
      <c r="E94" s="15"/>
      <c r="F94" s="17"/>
      <c r="G94" s="15"/>
      <c r="I94" s="15"/>
    </row>
    <row r="95">
      <c r="E95" s="15"/>
      <c r="F95" s="17"/>
      <c r="G95" s="15"/>
      <c r="I95" s="15"/>
    </row>
    <row r="96">
      <c r="E96" s="15"/>
      <c r="F96" s="17"/>
      <c r="G96" s="15"/>
      <c r="I96" s="15"/>
    </row>
    <row r="97">
      <c r="E97" s="15"/>
      <c r="F97" s="17"/>
      <c r="G97" s="15"/>
      <c r="I97" s="15"/>
    </row>
    <row r="98">
      <c r="E98" s="15"/>
      <c r="F98" s="17"/>
      <c r="G98" s="15"/>
      <c r="I98" s="15"/>
    </row>
    <row r="99">
      <c r="E99" s="15"/>
      <c r="F99" s="17"/>
      <c r="G99" s="15"/>
      <c r="I99" s="15"/>
    </row>
    <row r="100">
      <c r="E100" s="15"/>
      <c r="F100" s="17"/>
      <c r="G100" s="15"/>
      <c r="I100" s="15"/>
    </row>
    <row r="101">
      <c r="E101" s="15"/>
      <c r="F101" s="17"/>
      <c r="G101" s="15"/>
      <c r="I101" s="15"/>
    </row>
    <row r="102">
      <c r="E102" s="15"/>
      <c r="F102" s="17"/>
      <c r="G102" s="15"/>
      <c r="I102" s="15"/>
    </row>
    <row r="103">
      <c r="E103" s="15"/>
      <c r="F103" s="17"/>
      <c r="G103" s="15"/>
      <c r="I103" s="15"/>
    </row>
    <row r="104">
      <c r="E104" s="15"/>
      <c r="F104" s="17"/>
      <c r="G104" s="15"/>
      <c r="I104" s="15"/>
    </row>
    <row r="105">
      <c r="E105" s="15"/>
      <c r="F105" s="17"/>
      <c r="G105" s="15"/>
      <c r="I105" s="15"/>
    </row>
    <row r="106">
      <c r="E106" s="15"/>
      <c r="F106" s="17"/>
      <c r="G106" s="15"/>
      <c r="I106" s="15"/>
    </row>
    <row r="107">
      <c r="E107" s="15"/>
      <c r="F107" s="17"/>
      <c r="G107" s="15"/>
      <c r="I107" s="15"/>
    </row>
    <row r="108">
      <c r="E108" s="15"/>
      <c r="F108" s="17"/>
      <c r="G108" s="15"/>
      <c r="I108" s="15"/>
    </row>
    <row r="109">
      <c r="E109" s="15"/>
      <c r="F109" s="17"/>
      <c r="G109" s="15"/>
      <c r="I109" s="15"/>
    </row>
    <row r="110">
      <c r="E110" s="15"/>
      <c r="F110" s="17"/>
      <c r="G110" s="15"/>
      <c r="I110" s="15"/>
    </row>
    <row r="111">
      <c r="E111" s="15"/>
      <c r="F111" s="17"/>
      <c r="G111" s="15"/>
      <c r="I111" s="15"/>
    </row>
    <row r="112">
      <c r="E112" s="15"/>
      <c r="F112" s="17"/>
      <c r="G112" s="15"/>
      <c r="I112" s="15"/>
    </row>
    <row r="113">
      <c r="E113" s="15"/>
      <c r="F113" s="17"/>
      <c r="G113" s="15"/>
      <c r="I113" s="15"/>
    </row>
    <row r="114">
      <c r="E114" s="15"/>
      <c r="F114" s="17"/>
      <c r="G114" s="15"/>
      <c r="I114" s="15"/>
    </row>
    <row r="115">
      <c r="E115" s="15"/>
      <c r="F115" s="17"/>
      <c r="G115" s="15"/>
      <c r="I115" s="15"/>
    </row>
    <row r="116">
      <c r="E116" s="15"/>
      <c r="F116" s="17"/>
      <c r="G116" s="15"/>
      <c r="I116" s="15"/>
    </row>
    <row r="117">
      <c r="E117" s="15"/>
      <c r="F117" s="17"/>
      <c r="G117" s="15"/>
      <c r="I117" s="15"/>
    </row>
    <row r="118">
      <c r="E118" s="15"/>
      <c r="F118" s="17"/>
      <c r="G118" s="15"/>
      <c r="I118" s="15"/>
    </row>
    <row r="119">
      <c r="E119" s="15"/>
      <c r="F119" s="17"/>
      <c r="G119" s="15"/>
      <c r="I119" s="15"/>
    </row>
    <row r="120">
      <c r="E120" s="15"/>
      <c r="F120" s="17"/>
      <c r="G120" s="15"/>
      <c r="I120" s="15"/>
    </row>
    <row r="121">
      <c r="E121" s="15"/>
      <c r="F121" s="17"/>
      <c r="G121" s="15"/>
      <c r="I121" s="15"/>
    </row>
    <row r="122">
      <c r="E122" s="15"/>
      <c r="F122" s="17"/>
      <c r="G122" s="15"/>
      <c r="I122" s="15"/>
    </row>
    <row r="123">
      <c r="E123" s="15"/>
      <c r="F123" s="17"/>
      <c r="G123" s="15"/>
      <c r="I123" s="15"/>
    </row>
    <row r="124">
      <c r="E124" s="15"/>
      <c r="F124" s="17"/>
      <c r="G124" s="15"/>
      <c r="I124" s="15"/>
    </row>
    <row r="125">
      <c r="E125" s="15"/>
      <c r="F125" s="17"/>
      <c r="G125" s="15"/>
      <c r="I125" s="15"/>
    </row>
    <row r="126">
      <c r="E126" s="15"/>
      <c r="F126" s="17"/>
      <c r="G126" s="15"/>
      <c r="I126" s="15"/>
    </row>
    <row r="127">
      <c r="E127" s="15"/>
      <c r="F127" s="17"/>
      <c r="G127" s="15"/>
      <c r="I127" s="15"/>
    </row>
    <row r="128">
      <c r="E128" s="15"/>
      <c r="F128" s="17"/>
      <c r="G128" s="15"/>
      <c r="I128" s="15"/>
    </row>
    <row r="129">
      <c r="E129" s="15"/>
      <c r="F129" s="17"/>
      <c r="G129" s="15"/>
      <c r="I129" s="15"/>
    </row>
    <row r="130">
      <c r="E130" s="15"/>
      <c r="F130" s="17"/>
      <c r="G130" s="15"/>
      <c r="I130" s="15"/>
    </row>
    <row r="131">
      <c r="E131" s="15"/>
      <c r="F131" s="17"/>
      <c r="G131" s="15"/>
      <c r="I131" s="15"/>
    </row>
    <row r="132">
      <c r="E132" s="15"/>
      <c r="F132" s="17"/>
      <c r="G132" s="15"/>
      <c r="I132" s="15"/>
    </row>
    <row r="133">
      <c r="E133" s="15"/>
      <c r="F133" s="17"/>
      <c r="G133" s="15"/>
      <c r="I133" s="15"/>
    </row>
    <row r="134">
      <c r="E134" s="15"/>
      <c r="F134" s="17"/>
      <c r="G134" s="15"/>
      <c r="I134" s="15"/>
    </row>
    <row r="135">
      <c r="E135" s="15"/>
      <c r="F135" s="17"/>
      <c r="G135" s="15"/>
      <c r="I135" s="15"/>
    </row>
    <row r="136">
      <c r="E136" s="15"/>
      <c r="F136" s="17"/>
      <c r="G136" s="15"/>
      <c r="I136" s="15"/>
    </row>
    <row r="137">
      <c r="E137" s="15"/>
      <c r="F137" s="17"/>
      <c r="G137" s="15"/>
      <c r="I137" s="15"/>
    </row>
    <row r="138">
      <c r="E138" s="15"/>
      <c r="F138" s="17"/>
      <c r="G138" s="15"/>
      <c r="I138" s="15"/>
    </row>
    <row r="139">
      <c r="E139" s="15"/>
      <c r="F139" s="17"/>
      <c r="G139" s="15"/>
      <c r="I139" s="15"/>
    </row>
    <row r="140">
      <c r="E140" s="15"/>
      <c r="F140" s="17"/>
      <c r="G140" s="15"/>
      <c r="I140" s="15"/>
    </row>
    <row r="141">
      <c r="E141" s="15"/>
      <c r="F141" s="17"/>
      <c r="G141" s="15"/>
      <c r="I141" s="15"/>
    </row>
    <row r="142">
      <c r="E142" s="15"/>
      <c r="F142" s="17"/>
      <c r="G142" s="15"/>
      <c r="I142" s="15"/>
    </row>
    <row r="143">
      <c r="E143" s="15"/>
      <c r="F143" s="17"/>
      <c r="G143" s="15"/>
      <c r="I143" s="15"/>
    </row>
    <row r="144">
      <c r="E144" s="15"/>
      <c r="F144" s="17"/>
      <c r="G144" s="15"/>
      <c r="I144" s="15"/>
    </row>
    <row r="145">
      <c r="E145" s="15"/>
      <c r="F145" s="17"/>
      <c r="G145" s="15"/>
      <c r="I145" s="15"/>
    </row>
    <row r="146">
      <c r="E146" s="15"/>
      <c r="F146" s="17"/>
      <c r="G146" s="15"/>
      <c r="I146" s="15"/>
    </row>
    <row r="147">
      <c r="E147" s="15"/>
      <c r="F147" s="17"/>
      <c r="G147" s="15"/>
      <c r="I147" s="15"/>
    </row>
    <row r="148">
      <c r="E148" s="15"/>
      <c r="F148" s="17"/>
      <c r="G148" s="15"/>
      <c r="I148" s="15"/>
    </row>
    <row r="149">
      <c r="E149" s="15"/>
      <c r="F149" s="17"/>
      <c r="G149" s="15"/>
      <c r="I149" s="15"/>
    </row>
    <row r="150">
      <c r="E150" s="15"/>
      <c r="F150" s="17"/>
      <c r="G150" s="15"/>
      <c r="I150" s="15"/>
    </row>
    <row r="151">
      <c r="E151" s="15"/>
      <c r="F151" s="17"/>
      <c r="G151" s="15"/>
      <c r="I151" s="15"/>
    </row>
    <row r="152">
      <c r="E152" s="15"/>
      <c r="F152" s="17"/>
      <c r="G152" s="15"/>
      <c r="I152" s="15"/>
    </row>
    <row r="153">
      <c r="E153" s="15"/>
      <c r="F153" s="17"/>
      <c r="G153" s="15"/>
      <c r="I153" s="15"/>
    </row>
    <row r="154">
      <c r="E154" s="15"/>
      <c r="F154" s="17"/>
      <c r="G154" s="15"/>
      <c r="I154" s="15"/>
    </row>
    <row r="155">
      <c r="E155" s="15"/>
      <c r="F155" s="17"/>
      <c r="G155" s="15"/>
      <c r="I155" s="15"/>
    </row>
    <row r="156">
      <c r="E156" s="15"/>
      <c r="F156" s="17"/>
      <c r="G156" s="15"/>
      <c r="I156" s="15"/>
    </row>
    <row r="157">
      <c r="E157" s="15"/>
      <c r="F157" s="17"/>
      <c r="G157" s="15"/>
      <c r="I157" s="15"/>
    </row>
    <row r="158">
      <c r="E158" s="15"/>
      <c r="F158" s="17"/>
      <c r="G158" s="15"/>
      <c r="I158" s="15"/>
    </row>
    <row r="159">
      <c r="E159" s="15"/>
      <c r="F159" s="17"/>
      <c r="G159" s="15"/>
      <c r="I159" s="15"/>
    </row>
    <row r="160">
      <c r="E160" s="15"/>
      <c r="F160" s="17"/>
      <c r="G160" s="15"/>
      <c r="I160" s="15"/>
    </row>
    <row r="161">
      <c r="E161" s="15"/>
      <c r="F161" s="17"/>
      <c r="G161" s="15"/>
      <c r="I161" s="15"/>
    </row>
    <row r="162">
      <c r="E162" s="15"/>
      <c r="F162" s="17"/>
      <c r="G162" s="15"/>
      <c r="I162" s="15"/>
    </row>
    <row r="163">
      <c r="E163" s="15"/>
      <c r="F163" s="17"/>
      <c r="G163" s="15"/>
      <c r="I163" s="15"/>
    </row>
    <row r="164">
      <c r="E164" s="15"/>
      <c r="F164" s="17"/>
      <c r="G164" s="15"/>
      <c r="I164" s="15"/>
    </row>
    <row r="165">
      <c r="E165" s="15"/>
      <c r="F165" s="17"/>
      <c r="G165" s="15"/>
      <c r="I165" s="15"/>
    </row>
    <row r="166">
      <c r="E166" s="15"/>
      <c r="F166" s="17"/>
      <c r="G166" s="15"/>
      <c r="I166" s="15"/>
    </row>
    <row r="167">
      <c r="E167" s="15"/>
      <c r="F167" s="17"/>
      <c r="G167" s="15"/>
      <c r="I167" s="15"/>
    </row>
    <row r="168">
      <c r="E168" s="15"/>
      <c r="F168" s="17"/>
      <c r="G168" s="15"/>
      <c r="I168" s="15"/>
    </row>
    <row r="169">
      <c r="E169" s="15"/>
      <c r="F169" s="17"/>
      <c r="G169" s="15"/>
      <c r="I169" s="15"/>
    </row>
    <row r="170">
      <c r="E170" s="15"/>
      <c r="F170" s="17"/>
      <c r="G170" s="15"/>
      <c r="I170" s="15"/>
    </row>
    <row r="171">
      <c r="E171" s="15"/>
      <c r="F171" s="17"/>
      <c r="G171" s="15"/>
      <c r="I171" s="15"/>
    </row>
    <row r="172">
      <c r="E172" s="15"/>
      <c r="F172" s="17"/>
      <c r="G172" s="15"/>
      <c r="I172" s="15"/>
    </row>
    <row r="173">
      <c r="E173" s="15"/>
      <c r="F173" s="17"/>
      <c r="G173" s="15"/>
      <c r="I173" s="15"/>
    </row>
    <row r="174">
      <c r="E174" s="15"/>
      <c r="F174" s="17"/>
      <c r="G174" s="15"/>
      <c r="I174" s="15"/>
    </row>
    <row r="175">
      <c r="E175" s="15"/>
      <c r="F175" s="17"/>
      <c r="G175" s="15"/>
      <c r="I175" s="15"/>
    </row>
    <row r="176">
      <c r="E176" s="15"/>
      <c r="F176" s="17"/>
      <c r="G176" s="15"/>
      <c r="I176" s="15"/>
    </row>
    <row r="177">
      <c r="E177" s="15"/>
      <c r="F177" s="17"/>
      <c r="G177" s="15"/>
      <c r="I177" s="15"/>
    </row>
    <row r="178">
      <c r="E178" s="15"/>
      <c r="F178" s="17"/>
      <c r="G178" s="15"/>
      <c r="I178" s="15"/>
    </row>
    <row r="179">
      <c r="E179" s="15"/>
      <c r="F179" s="17"/>
      <c r="G179" s="15"/>
      <c r="I179" s="15"/>
    </row>
    <row r="180">
      <c r="E180" s="15"/>
      <c r="F180" s="17"/>
      <c r="G180" s="15"/>
      <c r="I180" s="15"/>
    </row>
    <row r="181">
      <c r="E181" s="15"/>
      <c r="F181" s="17"/>
      <c r="G181" s="15"/>
      <c r="I181" s="15"/>
    </row>
    <row r="182">
      <c r="E182" s="15"/>
      <c r="F182" s="17"/>
      <c r="G182" s="15"/>
      <c r="I182" s="15"/>
    </row>
    <row r="183">
      <c r="E183" s="15"/>
      <c r="F183" s="17"/>
      <c r="G183" s="15"/>
      <c r="I183" s="15"/>
    </row>
    <row r="184">
      <c r="E184" s="15"/>
      <c r="F184" s="17"/>
      <c r="G184" s="15"/>
      <c r="I184" s="15"/>
    </row>
    <row r="185">
      <c r="E185" s="15"/>
      <c r="F185" s="17"/>
      <c r="G185" s="15"/>
      <c r="I185" s="15"/>
    </row>
    <row r="186">
      <c r="E186" s="15"/>
      <c r="F186" s="17"/>
      <c r="G186" s="15"/>
      <c r="I186" s="15"/>
    </row>
    <row r="187">
      <c r="E187" s="15"/>
      <c r="F187" s="17"/>
      <c r="G187" s="15"/>
      <c r="I187" s="15"/>
    </row>
    <row r="188">
      <c r="E188" s="15"/>
      <c r="F188" s="17"/>
      <c r="G188" s="15"/>
      <c r="I188" s="15"/>
    </row>
    <row r="189">
      <c r="E189" s="15"/>
      <c r="F189" s="17"/>
      <c r="G189" s="15"/>
      <c r="I189" s="15"/>
    </row>
    <row r="190">
      <c r="E190" s="15"/>
      <c r="F190" s="17"/>
      <c r="G190" s="15"/>
      <c r="I190" s="15"/>
    </row>
    <row r="191">
      <c r="E191" s="15"/>
      <c r="F191" s="17"/>
      <c r="G191" s="15"/>
      <c r="I191" s="15"/>
    </row>
    <row r="192">
      <c r="E192" s="15"/>
      <c r="F192" s="17"/>
      <c r="G192" s="15"/>
      <c r="I192" s="15"/>
    </row>
    <row r="193">
      <c r="E193" s="15"/>
      <c r="F193" s="17"/>
      <c r="G193" s="15"/>
      <c r="I193" s="15"/>
    </row>
    <row r="194">
      <c r="E194" s="15"/>
      <c r="F194" s="17"/>
      <c r="G194" s="15"/>
      <c r="I194" s="15"/>
    </row>
    <row r="195">
      <c r="E195" s="15"/>
      <c r="F195" s="17"/>
      <c r="G195" s="15"/>
      <c r="I195" s="15"/>
    </row>
    <row r="196">
      <c r="E196" s="15"/>
      <c r="F196" s="17"/>
      <c r="G196" s="15"/>
      <c r="I196" s="15"/>
    </row>
    <row r="197">
      <c r="E197" s="15"/>
      <c r="F197" s="17"/>
      <c r="G197" s="15"/>
      <c r="I197" s="15"/>
    </row>
    <row r="198">
      <c r="E198" s="15"/>
      <c r="F198" s="17"/>
      <c r="G198" s="15"/>
      <c r="I198" s="15"/>
    </row>
    <row r="199">
      <c r="E199" s="15"/>
      <c r="F199" s="17"/>
      <c r="G199" s="15"/>
      <c r="I199" s="15"/>
    </row>
    <row r="200">
      <c r="E200" s="15"/>
      <c r="F200" s="17"/>
      <c r="G200" s="15"/>
      <c r="I200" s="15"/>
    </row>
    <row r="201">
      <c r="E201" s="15"/>
      <c r="F201" s="17"/>
      <c r="G201" s="15"/>
      <c r="I201" s="15"/>
    </row>
    <row r="202">
      <c r="E202" s="15"/>
      <c r="F202" s="17"/>
      <c r="G202" s="15"/>
      <c r="I202" s="15"/>
    </row>
    <row r="203">
      <c r="E203" s="15"/>
      <c r="F203" s="17"/>
      <c r="G203" s="15"/>
      <c r="I203" s="15"/>
    </row>
    <row r="204">
      <c r="E204" s="15"/>
      <c r="F204" s="17"/>
      <c r="G204" s="15"/>
      <c r="I204" s="15"/>
    </row>
    <row r="205">
      <c r="E205" s="15"/>
      <c r="F205" s="17"/>
      <c r="G205" s="15"/>
      <c r="I205" s="15"/>
    </row>
    <row r="206">
      <c r="E206" s="15"/>
      <c r="F206" s="17"/>
      <c r="G206" s="15"/>
      <c r="I206" s="15"/>
    </row>
    <row r="207">
      <c r="E207" s="15"/>
      <c r="F207" s="17"/>
      <c r="G207" s="15"/>
      <c r="I207" s="15"/>
    </row>
    <row r="208">
      <c r="E208" s="15"/>
      <c r="F208" s="17"/>
      <c r="G208" s="15"/>
      <c r="I208" s="15"/>
    </row>
    <row r="209">
      <c r="E209" s="15"/>
      <c r="F209" s="17"/>
      <c r="G209" s="15"/>
      <c r="I209" s="15"/>
    </row>
    <row r="210">
      <c r="E210" s="15"/>
      <c r="F210" s="17"/>
      <c r="G210" s="15"/>
      <c r="I210" s="15"/>
    </row>
    <row r="211">
      <c r="E211" s="15"/>
      <c r="F211" s="17"/>
      <c r="G211" s="15"/>
      <c r="I211" s="15"/>
    </row>
    <row r="212">
      <c r="E212" s="15"/>
      <c r="F212" s="17"/>
      <c r="G212" s="15"/>
      <c r="I212" s="15"/>
    </row>
    <row r="213">
      <c r="E213" s="15"/>
      <c r="F213" s="17"/>
      <c r="G213" s="15"/>
      <c r="I213" s="15"/>
    </row>
    <row r="214">
      <c r="E214" s="15"/>
      <c r="F214" s="17"/>
      <c r="G214" s="15"/>
      <c r="I214" s="15"/>
    </row>
    <row r="215">
      <c r="E215" s="15"/>
      <c r="F215" s="17"/>
      <c r="G215" s="15"/>
      <c r="I215" s="15"/>
    </row>
    <row r="216">
      <c r="E216" s="15"/>
      <c r="F216" s="17"/>
      <c r="G216" s="15"/>
      <c r="I216" s="15"/>
    </row>
    <row r="217">
      <c r="E217" s="15"/>
      <c r="F217" s="17"/>
      <c r="G217" s="15"/>
      <c r="I217" s="15"/>
    </row>
    <row r="218">
      <c r="E218" s="15"/>
      <c r="F218" s="17"/>
      <c r="G218" s="15"/>
      <c r="I218" s="15"/>
    </row>
    <row r="219">
      <c r="E219" s="15"/>
      <c r="F219" s="17"/>
      <c r="G219" s="15"/>
      <c r="I219" s="15"/>
    </row>
    <row r="220">
      <c r="E220" s="15"/>
      <c r="F220" s="17"/>
      <c r="G220" s="15"/>
      <c r="I220" s="15"/>
    </row>
    <row r="221">
      <c r="E221" s="15"/>
      <c r="F221" s="17"/>
      <c r="G221" s="15"/>
      <c r="I221" s="15"/>
    </row>
    <row r="222">
      <c r="E222" s="15"/>
      <c r="F222" s="17"/>
      <c r="G222" s="15"/>
      <c r="I222" s="15"/>
    </row>
    <row r="223">
      <c r="E223" s="15"/>
      <c r="F223" s="17"/>
      <c r="G223" s="15"/>
      <c r="I223" s="15"/>
    </row>
    <row r="224">
      <c r="E224" s="15"/>
      <c r="F224" s="17"/>
      <c r="G224" s="15"/>
      <c r="I224" s="15"/>
    </row>
    <row r="225">
      <c r="E225" s="15"/>
      <c r="F225" s="17"/>
      <c r="G225" s="15"/>
      <c r="I225" s="15"/>
    </row>
    <row r="226">
      <c r="E226" s="15"/>
      <c r="F226" s="17"/>
      <c r="G226" s="15"/>
      <c r="I226" s="15"/>
    </row>
    <row r="227">
      <c r="E227" s="15"/>
      <c r="F227" s="17"/>
      <c r="G227" s="15"/>
      <c r="I227" s="15"/>
    </row>
    <row r="228">
      <c r="E228" s="15"/>
      <c r="F228" s="17"/>
      <c r="G228" s="15"/>
      <c r="I228" s="15"/>
    </row>
    <row r="229">
      <c r="E229" s="15"/>
      <c r="F229" s="17"/>
      <c r="G229" s="15"/>
      <c r="I229" s="15"/>
    </row>
    <row r="230">
      <c r="E230" s="15"/>
      <c r="F230" s="17"/>
      <c r="G230" s="15"/>
      <c r="I230" s="15"/>
    </row>
    <row r="231">
      <c r="E231" s="15"/>
      <c r="F231" s="17"/>
      <c r="G231" s="15"/>
      <c r="I231" s="15"/>
    </row>
    <row r="232">
      <c r="E232" s="15"/>
      <c r="F232" s="17"/>
      <c r="G232" s="15"/>
      <c r="I232" s="15"/>
    </row>
    <row r="233">
      <c r="E233" s="15"/>
      <c r="F233" s="17"/>
      <c r="G233" s="15"/>
      <c r="I233" s="15"/>
    </row>
    <row r="234">
      <c r="E234" s="15"/>
      <c r="F234" s="17"/>
      <c r="G234" s="15"/>
      <c r="I234" s="15"/>
    </row>
    <row r="235">
      <c r="E235" s="15"/>
      <c r="F235" s="17"/>
      <c r="G235" s="15"/>
      <c r="I235" s="15"/>
    </row>
    <row r="236">
      <c r="E236" s="15"/>
      <c r="F236" s="17"/>
      <c r="G236" s="15"/>
      <c r="I236" s="15"/>
    </row>
    <row r="237">
      <c r="E237" s="15"/>
      <c r="F237" s="17"/>
      <c r="G237" s="15"/>
      <c r="I237" s="15"/>
    </row>
    <row r="238">
      <c r="E238" s="15"/>
      <c r="F238" s="17"/>
      <c r="G238" s="15"/>
      <c r="I238" s="15"/>
    </row>
    <row r="239">
      <c r="E239" s="15"/>
      <c r="F239" s="17"/>
      <c r="G239" s="15"/>
      <c r="I239" s="15"/>
    </row>
    <row r="240">
      <c r="E240" s="15"/>
      <c r="F240" s="17"/>
      <c r="G240" s="15"/>
      <c r="I240" s="15"/>
    </row>
    <row r="241">
      <c r="E241" s="15"/>
      <c r="F241" s="17"/>
      <c r="G241" s="15"/>
      <c r="I241" s="15"/>
    </row>
    <row r="242">
      <c r="E242" s="15"/>
      <c r="F242" s="17"/>
      <c r="G242" s="15"/>
      <c r="I242" s="15"/>
    </row>
    <row r="243">
      <c r="E243" s="15"/>
      <c r="F243" s="17"/>
      <c r="G243" s="15"/>
      <c r="I243" s="15"/>
    </row>
    <row r="244">
      <c r="E244" s="15"/>
      <c r="F244" s="17"/>
      <c r="G244" s="15"/>
      <c r="I244" s="15"/>
    </row>
    <row r="245">
      <c r="E245" s="15"/>
      <c r="F245" s="17"/>
      <c r="G245" s="15"/>
      <c r="I245" s="15"/>
    </row>
    <row r="246">
      <c r="E246" s="15"/>
      <c r="F246" s="17"/>
      <c r="G246" s="15"/>
      <c r="I246" s="15"/>
    </row>
    <row r="247">
      <c r="E247" s="15"/>
      <c r="F247" s="17"/>
      <c r="G247" s="15"/>
      <c r="I247" s="15"/>
    </row>
    <row r="248">
      <c r="E248" s="15"/>
      <c r="F248" s="17"/>
      <c r="G248" s="15"/>
      <c r="I248" s="15"/>
    </row>
    <row r="249">
      <c r="E249" s="15"/>
      <c r="F249" s="17"/>
      <c r="G249" s="15"/>
      <c r="I249" s="15"/>
    </row>
    <row r="250">
      <c r="E250" s="15"/>
      <c r="F250" s="17"/>
      <c r="G250" s="15"/>
      <c r="I250" s="15"/>
    </row>
    <row r="251">
      <c r="E251" s="15"/>
      <c r="F251" s="17"/>
      <c r="G251" s="15"/>
      <c r="I251" s="15"/>
    </row>
    <row r="252">
      <c r="E252" s="15"/>
      <c r="F252" s="17"/>
      <c r="G252" s="15"/>
      <c r="I252" s="15"/>
    </row>
    <row r="253">
      <c r="E253" s="15"/>
      <c r="F253" s="17"/>
      <c r="G253" s="15"/>
      <c r="I253" s="15"/>
    </row>
    <row r="254">
      <c r="E254" s="15"/>
      <c r="F254" s="17"/>
      <c r="G254" s="15"/>
      <c r="I254" s="15"/>
    </row>
    <row r="255">
      <c r="E255" s="15"/>
      <c r="F255" s="17"/>
      <c r="G255" s="15"/>
      <c r="I255" s="15"/>
    </row>
    <row r="256">
      <c r="E256" s="15"/>
      <c r="F256" s="17"/>
      <c r="G256" s="15"/>
      <c r="I256" s="15"/>
    </row>
    <row r="257">
      <c r="E257" s="15"/>
      <c r="F257" s="17"/>
      <c r="G257" s="15"/>
      <c r="I257" s="15"/>
    </row>
    <row r="258">
      <c r="E258" s="15"/>
      <c r="F258" s="17"/>
      <c r="G258" s="15"/>
      <c r="I258" s="15"/>
    </row>
    <row r="259">
      <c r="E259" s="15"/>
      <c r="F259" s="17"/>
      <c r="G259" s="15"/>
      <c r="I259" s="15"/>
    </row>
    <row r="260">
      <c r="E260" s="15"/>
      <c r="F260" s="17"/>
      <c r="G260" s="15"/>
      <c r="I260" s="15"/>
    </row>
    <row r="261">
      <c r="E261" s="15"/>
      <c r="F261" s="17"/>
      <c r="G261" s="15"/>
      <c r="I261" s="15"/>
    </row>
    <row r="262">
      <c r="E262" s="15"/>
      <c r="F262" s="17"/>
      <c r="G262" s="15"/>
      <c r="I262" s="15"/>
    </row>
    <row r="263">
      <c r="E263" s="15"/>
      <c r="F263" s="17"/>
      <c r="G263" s="15"/>
      <c r="I263" s="15"/>
    </row>
    <row r="264">
      <c r="E264" s="15"/>
      <c r="F264" s="17"/>
      <c r="G264" s="15"/>
      <c r="I264" s="15"/>
    </row>
    <row r="265">
      <c r="E265" s="15"/>
      <c r="F265" s="17"/>
      <c r="G265" s="15"/>
      <c r="I265" s="15"/>
    </row>
    <row r="266">
      <c r="E266" s="15"/>
      <c r="F266" s="17"/>
      <c r="G266" s="15"/>
      <c r="I266" s="15"/>
    </row>
    <row r="267">
      <c r="E267" s="15"/>
      <c r="F267" s="17"/>
      <c r="G267" s="15"/>
      <c r="I267" s="15"/>
    </row>
    <row r="268">
      <c r="E268" s="15"/>
      <c r="F268" s="17"/>
      <c r="G268" s="15"/>
      <c r="I268" s="15"/>
    </row>
    <row r="269">
      <c r="E269" s="15"/>
      <c r="F269" s="17"/>
      <c r="G269" s="15"/>
      <c r="I269" s="15"/>
    </row>
    <row r="270">
      <c r="E270" s="15"/>
      <c r="F270" s="17"/>
      <c r="G270" s="15"/>
      <c r="I270" s="15"/>
    </row>
    <row r="271">
      <c r="E271" s="15"/>
      <c r="F271" s="17"/>
      <c r="G271" s="15"/>
      <c r="I271" s="15"/>
    </row>
    <row r="272">
      <c r="E272" s="15"/>
      <c r="F272" s="17"/>
      <c r="G272" s="15"/>
      <c r="I272" s="15"/>
    </row>
    <row r="273">
      <c r="E273" s="15"/>
      <c r="F273" s="17"/>
      <c r="G273" s="15"/>
      <c r="I273" s="15"/>
    </row>
    <row r="274">
      <c r="E274" s="15"/>
      <c r="F274" s="17"/>
      <c r="G274" s="15"/>
      <c r="I274" s="15"/>
    </row>
    <row r="275">
      <c r="E275" s="15"/>
      <c r="F275" s="17"/>
      <c r="G275" s="15"/>
      <c r="I275" s="15"/>
    </row>
    <row r="276">
      <c r="E276" s="15"/>
      <c r="F276" s="17"/>
      <c r="G276" s="15"/>
      <c r="I276" s="15"/>
    </row>
    <row r="277">
      <c r="E277" s="15"/>
      <c r="F277" s="17"/>
      <c r="G277" s="15"/>
      <c r="I277" s="15"/>
    </row>
    <row r="278">
      <c r="E278" s="15"/>
      <c r="F278" s="17"/>
      <c r="G278" s="15"/>
      <c r="I278" s="15"/>
    </row>
    <row r="279">
      <c r="E279" s="15"/>
      <c r="F279" s="17"/>
      <c r="G279" s="15"/>
      <c r="I279" s="15"/>
    </row>
    <row r="280">
      <c r="E280" s="15"/>
      <c r="F280" s="17"/>
      <c r="G280" s="15"/>
      <c r="I280" s="15"/>
    </row>
    <row r="281">
      <c r="E281" s="15"/>
      <c r="F281" s="17"/>
      <c r="G281" s="15"/>
      <c r="I281" s="15"/>
    </row>
    <row r="282">
      <c r="E282" s="15"/>
      <c r="F282" s="17"/>
      <c r="G282" s="15"/>
      <c r="I282" s="15"/>
    </row>
    <row r="283">
      <c r="E283" s="15"/>
      <c r="F283" s="17"/>
      <c r="G283" s="15"/>
      <c r="I283" s="15"/>
    </row>
    <row r="284">
      <c r="E284" s="15"/>
      <c r="F284" s="17"/>
      <c r="G284" s="15"/>
      <c r="I284" s="15"/>
    </row>
    <row r="285">
      <c r="E285" s="15"/>
      <c r="F285" s="17"/>
      <c r="G285" s="15"/>
      <c r="I285" s="15"/>
    </row>
    <row r="286">
      <c r="E286" s="15"/>
      <c r="F286" s="17"/>
      <c r="G286" s="15"/>
      <c r="I286" s="15"/>
    </row>
    <row r="287">
      <c r="E287" s="15"/>
      <c r="F287" s="17"/>
      <c r="G287" s="15"/>
      <c r="I287" s="15"/>
    </row>
    <row r="288">
      <c r="E288" s="15"/>
      <c r="F288" s="17"/>
      <c r="G288" s="15"/>
      <c r="I288" s="15"/>
    </row>
    <row r="289">
      <c r="E289" s="15"/>
      <c r="F289" s="17"/>
      <c r="G289" s="15"/>
      <c r="I289" s="15"/>
    </row>
    <row r="290">
      <c r="E290" s="15"/>
      <c r="F290" s="17"/>
      <c r="G290" s="15"/>
      <c r="I290" s="15"/>
    </row>
    <row r="291">
      <c r="E291" s="15"/>
      <c r="F291" s="17"/>
      <c r="G291" s="15"/>
      <c r="I291" s="15"/>
    </row>
    <row r="292">
      <c r="E292" s="15"/>
      <c r="F292" s="17"/>
      <c r="G292" s="15"/>
      <c r="I292" s="15"/>
    </row>
    <row r="293">
      <c r="E293" s="15"/>
      <c r="F293" s="17"/>
      <c r="G293" s="15"/>
      <c r="I293" s="15"/>
    </row>
    <row r="294">
      <c r="E294" s="15"/>
      <c r="F294" s="17"/>
      <c r="G294" s="15"/>
      <c r="I294" s="15"/>
    </row>
    <row r="295">
      <c r="E295" s="15"/>
      <c r="F295" s="17"/>
      <c r="G295" s="15"/>
      <c r="I295" s="15"/>
    </row>
    <row r="296">
      <c r="E296" s="15"/>
      <c r="F296" s="17"/>
      <c r="G296" s="15"/>
      <c r="I296" s="15"/>
    </row>
    <row r="297">
      <c r="E297" s="15"/>
      <c r="F297" s="17"/>
      <c r="G297" s="15"/>
      <c r="I297" s="15"/>
    </row>
    <row r="298">
      <c r="E298" s="15"/>
      <c r="F298" s="17"/>
      <c r="G298" s="15"/>
      <c r="I298" s="15"/>
    </row>
    <row r="299">
      <c r="E299" s="15"/>
      <c r="F299" s="17"/>
      <c r="G299" s="15"/>
      <c r="I299" s="15"/>
    </row>
    <row r="300">
      <c r="E300" s="15"/>
      <c r="F300" s="17"/>
      <c r="G300" s="15"/>
      <c r="I300" s="15"/>
    </row>
    <row r="301">
      <c r="E301" s="15"/>
      <c r="F301" s="17"/>
      <c r="G301" s="15"/>
      <c r="I301" s="15"/>
    </row>
    <row r="302">
      <c r="E302" s="15"/>
      <c r="F302" s="17"/>
      <c r="G302" s="15"/>
      <c r="I302" s="15"/>
    </row>
    <row r="303">
      <c r="E303" s="15"/>
      <c r="F303" s="17"/>
      <c r="G303" s="15"/>
      <c r="I303" s="15"/>
    </row>
    <row r="304">
      <c r="E304" s="15"/>
      <c r="F304" s="17"/>
      <c r="G304" s="15"/>
      <c r="I304" s="15"/>
    </row>
    <row r="305">
      <c r="E305" s="15"/>
      <c r="F305" s="17"/>
      <c r="G305" s="15"/>
      <c r="I305" s="15"/>
    </row>
    <row r="306">
      <c r="E306" s="15"/>
      <c r="F306" s="17"/>
      <c r="G306" s="15"/>
      <c r="I306" s="15"/>
    </row>
    <row r="307">
      <c r="E307" s="15"/>
      <c r="F307" s="17"/>
      <c r="G307" s="15"/>
      <c r="I307" s="15"/>
    </row>
    <row r="308">
      <c r="E308" s="15"/>
      <c r="F308" s="17"/>
      <c r="G308" s="15"/>
      <c r="I308" s="15"/>
    </row>
    <row r="309">
      <c r="E309" s="15"/>
      <c r="F309" s="17"/>
      <c r="G309" s="15"/>
      <c r="I309" s="15"/>
    </row>
    <row r="310">
      <c r="E310" s="15"/>
      <c r="F310" s="17"/>
      <c r="G310" s="15"/>
      <c r="I310" s="15"/>
    </row>
    <row r="311">
      <c r="E311" s="15"/>
      <c r="F311" s="17"/>
      <c r="G311" s="15"/>
      <c r="I311" s="15"/>
    </row>
    <row r="312">
      <c r="E312" s="15"/>
      <c r="F312" s="17"/>
      <c r="G312" s="15"/>
      <c r="I312" s="15"/>
    </row>
    <row r="313">
      <c r="E313" s="15"/>
      <c r="F313" s="17"/>
      <c r="G313" s="15"/>
      <c r="I313" s="15"/>
    </row>
    <row r="314">
      <c r="E314" s="15"/>
      <c r="F314" s="17"/>
      <c r="G314" s="15"/>
      <c r="I314" s="15"/>
    </row>
    <row r="315">
      <c r="E315" s="15"/>
      <c r="F315" s="17"/>
      <c r="G315" s="15"/>
      <c r="I315" s="15"/>
    </row>
    <row r="316">
      <c r="E316" s="15"/>
      <c r="F316" s="17"/>
      <c r="G316" s="15"/>
      <c r="I316" s="15"/>
    </row>
    <row r="317">
      <c r="E317" s="15"/>
      <c r="F317" s="17"/>
      <c r="G317" s="15"/>
      <c r="I317" s="15"/>
    </row>
    <row r="318">
      <c r="E318" s="15"/>
      <c r="F318" s="17"/>
      <c r="G318" s="15"/>
      <c r="I318" s="15"/>
    </row>
    <row r="319">
      <c r="E319" s="15"/>
      <c r="F319" s="17"/>
      <c r="G319" s="15"/>
      <c r="I319" s="15"/>
    </row>
    <row r="320">
      <c r="E320" s="15"/>
      <c r="F320" s="17"/>
      <c r="G320" s="15"/>
      <c r="I320" s="15"/>
    </row>
    <row r="321">
      <c r="E321" s="15"/>
      <c r="F321" s="17"/>
      <c r="G321" s="15"/>
      <c r="I321" s="15"/>
    </row>
    <row r="322">
      <c r="E322" s="15"/>
      <c r="F322" s="17"/>
      <c r="G322" s="15"/>
      <c r="I322" s="15"/>
    </row>
    <row r="323">
      <c r="E323" s="15"/>
      <c r="F323" s="17"/>
      <c r="G323" s="15"/>
      <c r="I323" s="15"/>
    </row>
    <row r="324">
      <c r="E324" s="15"/>
      <c r="F324" s="17"/>
      <c r="G324" s="15"/>
      <c r="I324" s="15"/>
    </row>
    <row r="325">
      <c r="E325" s="15"/>
      <c r="F325" s="17"/>
      <c r="G325" s="15"/>
      <c r="I325" s="15"/>
    </row>
    <row r="326">
      <c r="E326" s="15"/>
      <c r="F326" s="17"/>
      <c r="G326" s="15"/>
      <c r="I326" s="15"/>
    </row>
    <row r="327">
      <c r="E327" s="15"/>
      <c r="F327" s="17"/>
      <c r="G327" s="15"/>
      <c r="I327" s="15"/>
    </row>
    <row r="328">
      <c r="E328" s="15"/>
      <c r="F328" s="17"/>
      <c r="G328" s="15"/>
      <c r="I328" s="15"/>
    </row>
    <row r="329">
      <c r="E329" s="15"/>
      <c r="F329" s="17"/>
      <c r="G329" s="15"/>
      <c r="I329" s="15"/>
    </row>
    <row r="330">
      <c r="E330" s="15"/>
      <c r="F330" s="17"/>
      <c r="G330" s="15"/>
      <c r="I330" s="15"/>
    </row>
    <row r="331">
      <c r="E331" s="15"/>
      <c r="F331" s="17"/>
      <c r="G331" s="15"/>
      <c r="I331" s="15"/>
    </row>
    <row r="332">
      <c r="E332" s="15"/>
      <c r="F332" s="17"/>
      <c r="G332" s="15"/>
      <c r="I332" s="15"/>
    </row>
    <row r="333">
      <c r="E333" s="15"/>
      <c r="F333" s="17"/>
      <c r="G333" s="15"/>
      <c r="I333" s="15"/>
    </row>
    <row r="334">
      <c r="E334" s="15"/>
      <c r="F334" s="17"/>
      <c r="G334" s="15"/>
      <c r="I334" s="15"/>
    </row>
    <row r="335">
      <c r="E335" s="15"/>
      <c r="F335" s="17"/>
      <c r="G335" s="15"/>
      <c r="I335" s="15"/>
    </row>
    <row r="336">
      <c r="E336" s="15"/>
      <c r="F336" s="17"/>
      <c r="G336" s="15"/>
      <c r="I336" s="15"/>
    </row>
    <row r="337">
      <c r="E337" s="15"/>
      <c r="F337" s="17"/>
      <c r="G337" s="15"/>
      <c r="I337" s="15"/>
    </row>
    <row r="338">
      <c r="E338" s="15"/>
      <c r="F338" s="17"/>
      <c r="G338" s="15"/>
      <c r="I338" s="15"/>
    </row>
    <row r="339">
      <c r="E339" s="15"/>
      <c r="F339" s="17"/>
      <c r="G339" s="15"/>
      <c r="I339" s="15"/>
    </row>
    <row r="340">
      <c r="E340" s="15"/>
      <c r="F340" s="17"/>
      <c r="G340" s="15"/>
      <c r="I340" s="15"/>
    </row>
    <row r="341">
      <c r="E341" s="15"/>
      <c r="F341" s="17"/>
      <c r="G341" s="15"/>
      <c r="I341" s="15"/>
    </row>
    <row r="342">
      <c r="E342" s="15"/>
      <c r="F342" s="17"/>
      <c r="G342" s="15"/>
      <c r="I342" s="15"/>
    </row>
    <row r="343">
      <c r="E343" s="15"/>
      <c r="F343" s="17"/>
      <c r="G343" s="15"/>
      <c r="I343" s="15"/>
    </row>
    <row r="344">
      <c r="E344" s="15"/>
      <c r="F344" s="17"/>
      <c r="G344" s="15"/>
      <c r="I344" s="15"/>
    </row>
    <row r="345">
      <c r="E345" s="15"/>
      <c r="F345" s="17"/>
      <c r="G345" s="15"/>
      <c r="I345" s="15"/>
    </row>
    <row r="346">
      <c r="E346" s="15"/>
      <c r="F346" s="17"/>
      <c r="G346" s="15"/>
      <c r="I346" s="15"/>
    </row>
    <row r="347">
      <c r="E347" s="15"/>
      <c r="F347" s="17"/>
      <c r="G347" s="15"/>
      <c r="I347" s="15"/>
    </row>
    <row r="348">
      <c r="E348" s="15"/>
      <c r="F348" s="17"/>
      <c r="G348" s="15"/>
      <c r="I348" s="15"/>
    </row>
    <row r="349">
      <c r="E349" s="15"/>
      <c r="F349" s="17"/>
      <c r="G349" s="15"/>
      <c r="I349" s="15"/>
    </row>
    <row r="350">
      <c r="E350" s="15"/>
      <c r="F350" s="17"/>
      <c r="G350" s="15"/>
      <c r="I350" s="15"/>
    </row>
    <row r="351">
      <c r="E351" s="15"/>
      <c r="F351" s="17"/>
      <c r="G351" s="15"/>
      <c r="I351" s="15"/>
    </row>
    <row r="352">
      <c r="E352" s="15"/>
      <c r="F352" s="17"/>
      <c r="G352" s="15"/>
      <c r="I352" s="15"/>
    </row>
    <row r="353">
      <c r="E353" s="15"/>
      <c r="F353" s="17"/>
      <c r="G353" s="15"/>
      <c r="I353" s="15"/>
    </row>
    <row r="354">
      <c r="E354" s="15"/>
      <c r="F354" s="17"/>
      <c r="G354" s="15"/>
      <c r="I354" s="15"/>
    </row>
    <row r="355">
      <c r="E355" s="15"/>
      <c r="F355" s="17"/>
      <c r="G355" s="15"/>
      <c r="I355" s="15"/>
    </row>
    <row r="356">
      <c r="E356" s="15"/>
      <c r="F356" s="17"/>
      <c r="G356" s="15"/>
      <c r="I356" s="15"/>
    </row>
    <row r="357">
      <c r="E357" s="15"/>
      <c r="F357" s="17"/>
      <c r="G357" s="15"/>
      <c r="I357" s="15"/>
    </row>
    <row r="358">
      <c r="E358" s="15"/>
      <c r="F358" s="17"/>
      <c r="G358" s="15"/>
      <c r="I358" s="15"/>
    </row>
    <row r="359">
      <c r="E359" s="15"/>
      <c r="F359" s="17"/>
      <c r="G359" s="15"/>
      <c r="I359" s="15"/>
    </row>
    <row r="360">
      <c r="E360" s="15"/>
      <c r="F360" s="17"/>
      <c r="G360" s="15"/>
      <c r="I360" s="15"/>
    </row>
    <row r="361">
      <c r="E361" s="15"/>
      <c r="F361" s="17"/>
      <c r="G361" s="15"/>
      <c r="I361" s="15"/>
    </row>
    <row r="362">
      <c r="E362" s="15"/>
      <c r="F362" s="17"/>
      <c r="G362" s="15"/>
      <c r="I362" s="15"/>
    </row>
    <row r="363">
      <c r="E363" s="15"/>
      <c r="F363" s="17"/>
      <c r="G363" s="15"/>
      <c r="I363" s="15"/>
    </row>
    <row r="364">
      <c r="E364" s="15"/>
      <c r="F364" s="17"/>
      <c r="G364" s="15"/>
      <c r="I364" s="15"/>
    </row>
    <row r="365">
      <c r="E365" s="15"/>
      <c r="F365" s="17"/>
      <c r="G365" s="15"/>
      <c r="I365" s="15"/>
    </row>
    <row r="366">
      <c r="E366" s="15"/>
      <c r="F366" s="17"/>
      <c r="G366" s="15"/>
      <c r="I366" s="15"/>
    </row>
    <row r="367">
      <c r="E367" s="15"/>
      <c r="F367" s="17"/>
      <c r="G367" s="15"/>
      <c r="I367" s="15"/>
    </row>
    <row r="368">
      <c r="E368" s="15"/>
      <c r="F368" s="17"/>
      <c r="G368" s="15"/>
      <c r="I368" s="15"/>
    </row>
    <row r="369">
      <c r="E369" s="15"/>
      <c r="F369" s="17"/>
      <c r="G369" s="15"/>
      <c r="I369" s="15"/>
    </row>
    <row r="370">
      <c r="E370" s="15"/>
      <c r="F370" s="17"/>
      <c r="G370" s="15"/>
      <c r="I370" s="15"/>
    </row>
    <row r="371">
      <c r="E371" s="15"/>
      <c r="F371" s="17"/>
      <c r="G371" s="15"/>
      <c r="I371" s="15"/>
    </row>
    <row r="372">
      <c r="E372" s="15"/>
      <c r="F372" s="17"/>
      <c r="G372" s="15"/>
      <c r="I372" s="15"/>
    </row>
    <row r="373">
      <c r="E373" s="15"/>
      <c r="F373" s="17"/>
      <c r="G373" s="15"/>
      <c r="I373" s="15"/>
    </row>
    <row r="374">
      <c r="E374" s="15"/>
      <c r="F374" s="17"/>
      <c r="G374" s="15"/>
      <c r="I374" s="15"/>
    </row>
    <row r="375">
      <c r="E375" s="15"/>
      <c r="F375" s="17"/>
      <c r="G375" s="15"/>
      <c r="I375" s="15"/>
    </row>
    <row r="376">
      <c r="E376" s="15"/>
      <c r="F376" s="17"/>
      <c r="G376" s="15"/>
      <c r="I376" s="15"/>
    </row>
    <row r="377">
      <c r="E377" s="15"/>
      <c r="F377" s="17"/>
      <c r="G377" s="15"/>
      <c r="I377" s="15"/>
    </row>
    <row r="378">
      <c r="E378" s="15"/>
      <c r="F378" s="17"/>
      <c r="G378" s="15"/>
      <c r="I378" s="15"/>
    </row>
    <row r="379">
      <c r="E379" s="15"/>
      <c r="F379" s="17"/>
      <c r="G379" s="15"/>
      <c r="I379" s="15"/>
    </row>
    <row r="380">
      <c r="E380" s="15"/>
      <c r="F380" s="17"/>
      <c r="G380" s="15"/>
      <c r="I380" s="15"/>
    </row>
    <row r="381">
      <c r="E381" s="15"/>
      <c r="F381" s="17"/>
      <c r="G381" s="15"/>
      <c r="I381" s="15"/>
    </row>
    <row r="382">
      <c r="E382" s="15"/>
      <c r="F382" s="17"/>
      <c r="G382" s="15"/>
      <c r="I382" s="15"/>
    </row>
    <row r="383">
      <c r="E383" s="15"/>
      <c r="F383" s="17"/>
      <c r="G383" s="15"/>
      <c r="I383" s="15"/>
    </row>
    <row r="384">
      <c r="E384" s="15"/>
      <c r="F384" s="17"/>
      <c r="G384" s="15"/>
      <c r="I384" s="15"/>
    </row>
    <row r="385">
      <c r="E385" s="15"/>
      <c r="F385" s="17"/>
      <c r="G385" s="15"/>
      <c r="I385" s="15"/>
    </row>
    <row r="386">
      <c r="E386" s="15"/>
      <c r="F386" s="17"/>
      <c r="G386" s="15"/>
      <c r="I386" s="15"/>
    </row>
    <row r="387">
      <c r="E387" s="15"/>
      <c r="F387" s="17"/>
      <c r="G387" s="15"/>
      <c r="I387" s="15"/>
    </row>
    <row r="388">
      <c r="E388" s="15"/>
      <c r="F388" s="17"/>
      <c r="G388" s="15"/>
      <c r="I388" s="15"/>
    </row>
    <row r="389">
      <c r="E389" s="15"/>
      <c r="F389" s="17"/>
      <c r="G389" s="15"/>
      <c r="I389" s="15"/>
    </row>
    <row r="390">
      <c r="E390" s="15"/>
      <c r="F390" s="17"/>
      <c r="G390" s="15"/>
      <c r="I390" s="15"/>
    </row>
    <row r="391">
      <c r="E391" s="15"/>
      <c r="F391" s="17"/>
      <c r="G391" s="15"/>
      <c r="I391" s="15"/>
    </row>
    <row r="392">
      <c r="E392" s="15"/>
      <c r="F392" s="17"/>
      <c r="G392" s="15"/>
      <c r="I392" s="15"/>
    </row>
    <row r="393">
      <c r="E393" s="15"/>
      <c r="F393" s="17"/>
      <c r="G393" s="15"/>
      <c r="I393" s="15"/>
    </row>
    <row r="394">
      <c r="E394" s="15"/>
      <c r="F394" s="17"/>
      <c r="G394" s="15"/>
      <c r="I394" s="15"/>
    </row>
    <row r="395">
      <c r="E395" s="15"/>
      <c r="F395" s="17"/>
      <c r="G395" s="15"/>
      <c r="I395" s="15"/>
    </row>
    <row r="396">
      <c r="E396" s="15"/>
      <c r="F396" s="17"/>
      <c r="G396" s="15"/>
      <c r="I396" s="15"/>
    </row>
    <row r="397">
      <c r="E397" s="15"/>
      <c r="F397" s="17"/>
      <c r="G397" s="15"/>
      <c r="I397" s="15"/>
    </row>
    <row r="398">
      <c r="E398" s="15"/>
      <c r="F398" s="17"/>
      <c r="G398" s="15"/>
      <c r="I398" s="15"/>
    </row>
    <row r="399">
      <c r="E399" s="15"/>
      <c r="F399" s="17"/>
      <c r="G399" s="15"/>
      <c r="I399" s="15"/>
    </row>
    <row r="400">
      <c r="E400" s="15"/>
      <c r="F400" s="17"/>
      <c r="G400" s="15"/>
      <c r="I400" s="15"/>
    </row>
    <row r="401">
      <c r="E401" s="15"/>
      <c r="F401" s="17"/>
      <c r="G401" s="15"/>
      <c r="I401" s="15"/>
    </row>
    <row r="402">
      <c r="E402" s="15"/>
      <c r="F402" s="17"/>
      <c r="G402" s="15"/>
      <c r="I402" s="15"/>
    </row>
    <row r="403">
      <c r="E403" s="15"/>
      <c r="F403" s="17"/>
      <c r="G403" s="15"/>
      <c r="I403" s="15"/>
    </row>
    <row r="404">
      <c r="E404" s="15"/>
      <c r="F404" s="17"/>
      <c r="G404" s="15"/>
      <c r="I404" s="15"/>
    </row>
    <row r="405">
      <c r="E405" s="15"/>
      <c r="F405" s="17"/>
      <c r="G405" s="15"/>
      <c r="I405" s="15"/>
    </row>
    <row r="406">
      <c r="E406" s="15"/>
      <c r="F406" s="17"/>
      <c r="G406" s="15"/>
      <c r="I406" s="15"/>
    </row>
    <row r="407">
      <c r="E407" s="15"/>
      <c r="F407" s="17"/>
      <c r="G407" s="15"/>
      <c r="I407" s="15"/>
    </row>
    <row r="408">
      <c r="E408" s="15"/>
      <c r="F408" s="17"/>
      <c r="G408" s="15"/>
      <c r="I408" s="15"/>
    </row>
    <row r="409">
      <c r="E409" s="15"/>
      <c r="F409" s="17"/>
      <c r="G409" s="15"/>
      <c r="I409" s="15"/>
    </row>
    <row r="410">
      <c r="E410" s="15"/>
      <c r="F410" s="17"/>
      <c r="G410" s="15"/>
      <c r="I410" s="15"/>
    </row>
    <row r="411">
      <c r="E411" s="15"/>
      <c r="F411" s="17"/>
      <c r="G411" s="15"/>
      <c r="I411" s="15"/>
    </row>
    <row r="412">
      <c r="E412" s="15"/>
      <c r="F412" s="17"/>
      <c r="G412" s="15"/>
      <c r="I412" s="15"/>
    </row>
    <row r="413">
      <c r="E413" s="15"/>
      <c r="F413" s="17"/>
      <c r="G413" s="15"/>
      <c r="I413" s="15"/>
    </row>
    <row r="414">
      <c r="E414" s="15"/>
      <c r="F414" s="17"/>
      <c r="G414" s="15"/>
      <c r="I414" s="15"/>
    </row>
    <row r="415">
      <c r="E415" s="15"/>
      <c r="F415" s="17"/>
      <c r="G415" s="15"/>
      <c r="I415" s="15"/>
    </row>
    <row r="416">
      <c r="E416" s="15"/>
      <c r="F416" s="17"/>
      <c r="G416" s="15"/>
      <c r="I416" s="15"/>
    </row>
    <row r="417">
      <c r="E417" s="15"/>
      <c r="F417" s="17"/>
      <c r="G417" s="15"/>
      <c r="I417" s="15"/>
    </row>
    <row r="418">
      <c r="E418" s="15"/>
      <c r="F418" s="17"/>
      <c r="G418" s="15"/>
      <c r="I418" s="15"/>
    </row>
    <row r="419">
      <c r="E419" s="15"/>
      <c r="F419" s="17"/>
      <c r="G419" s="15"/>
      <c r="I419" s="15"/>
    </row>
    <row r="420">
      <c r="E420" s="15"/>
      <c r="F420" s="17"/>
      <c r="G420" s="15"/>
      <c r="I420" s="15"/>
    </row>
    <row r="421">
      <c r="E421" s="15"/>
      <c r="F421" s="17"/>
      <c r="G421" s="15"/>
      <c r="I421" s="15"/>
    </row>
    <row r="422">
      <c r="E422" s="15"/>
      <c r="F422" s="17"/>
      <c r="G422" s="15"/>
      <c r="I422" s="15"/>
    </row>
    <row r="423">
      <c r="E423" s="15"/>
      <c r="F423" s="17"/>
      <c r="G423" s="15"/>
      <c r="I423" s="15"/>
    </row>
    <row r="424">
      <c r="E424" s="15"/>
      <c r="F424" s="17"/>
      <c r="G424" s="15"/>
      <c r="I424" s="15"/>
    </row>
    <row r="425">
      <c r="E425" s="15"/>
      <c r="F425" s="17"/>
      <c r="G425" s="15"/>
      <c r="I425" s="15"/>
    </row>
    <row r="426">
      <c r="E426" s="15"/>
      <c r="F426" s="17"/>
      <c r="G426" s="15"/>
      <c r="I426" s="15"/>
    </row>
    <row r="427">
      <c r="E427" s="15"/>
      <c r="F427" s="17"/>
      <c r="G427" s="15"/>
      <c r="I427" s="15"/>
    </row>
    <row r="428">
      <c r="E428" s="15"/>
      <c r="F428" s="17"/>
      <c r="G428" s="15"/>
      <c r="I428" s="15"/>
    </row>
    <row r="429">
      <c r="E429" s="15"/>
      <c r="F429" s="17"/>
      <c r="G429" s="15"/>
      <c r="I429" s="15"/>
    </row>
    <row r="430">
      <c r="E430" s="15"/>
      <c r="F430" s="17"/>
      <c r="G430" s="15"/>
      <c r="I430" s="15"/>
    </row>
    <row r="431">
      <c r="E431" s="15"/>
      <c r="F431" s="17"/>
      <c r="G431" s="15"/>
      <c r="I431" s="15"/>
    </row>
    <row r="432">
      <c r="E432" s="15"/>
      <c r="F432" s="17"/>
      <c r="G432" s="15"/>
      <c r="I432" s="15"/>
    </row>
    <row r="433">
      <c r="E433" s="15"/>
      <c r="F433" s="17"/>
      <c r="G433" s="15"/>
      <c r="I433" s="15"/>
    </row>
    <row r="434">
      <c r="E434" s="15"/>
      <c r="F434" s="17"/>
      <c r="G434" s="15"/>
      <c r="I434" s="15"/>
    </row>
    <row r="435">
      <c r="E435" s="15"/>
      <c r="F435" s="17"/>
      <c r="G435" s="15"/>
      <c r="I435" s="15"/>
    </row>
    <row r="436">
      <c r="E436" s="15"/>
      <c r="F436" s="17"/>
      <c r="G436" s="15"/>
      <c r="I436" s="15"/>
    </row>
    <row r="437">
      <c r="E437" s="15"/>
      <c r="F437" s="17"/>
      <c r="G437" s="15"/>
      <c r="I437" s="15"/>
    </row>
    <row r="438">
      <c r="E438" s="15"/>
      <c r="F438" s="17"/>
      <c r="G438" s="15"/>
      <c r="I438" s="15"/>
    </row>
    <row r="439">
      <c r="E439" s="15"/>
      <c r="F439" s="17"/>
      <c r="G439" s="15"/>
      <c r="I439" s="15"/>
    </row>
    <row r="440">
      <c r="E440" s="15"/>
      <c r="F440" s="17"/>
      <c r="G440" s="15"/>
      <c r="I440" s="15"/>
    </row>
    <row r="441">
      <c r="E441" s="15"/>
      <c r="F441" s="17"/>
      <c r="G441" s="15"/>
      <c r="I441" s="15"/>
    </row>
    <row r="442">
      <c r="E442" s="15"/>
      <c r="F442" s="17"/>
      <c r="G442" s="15"/>
      <c r="I442" s="15"/>
    </row>
    <row r="443">
      <c r="E443" s="15"/>
      <c r="F443" s="17"/>
      <c r="G443" s="15"/>
      <c r="I443" s="15"/>
    </row>
    <row r="444">
      <c r="E444" s="15"/>
      <c r="F444" s="17"/>
      <c r="G444" s="15"/>
      <c r="I444" s="15"/>
    </row>
    <row r="445">
      <c r="E445" s="15"/>
      <c r="F445" s="17"/>
      <c r="G445" s="15"/>
      <c r="I445" s="15"/>
    </row>
    <row r="446">
      <c r="E446" s="15"/>
      <c r="F446" s="17"/>
      <c r="G446" s="15"/>
      <c r="I446" s="15"/>
    </row>
    <row r="447">
      <c r="E447" s="15"/>
      <c r="F447" s="17"/>
      <c r="G447" s="15"/>
      <c r="I447" s="15"/>
    </row>
    <row r="448">
      <c r="E448" s="15"/>
      <c r="F448" s="17"/>
      <c r="G448" s="15"/>
      <c r="I448" s="15"/>
    </row>
    <row r="449">
      <c r="E449" s="15"/>
      <c r="F449" s="17"/>
      <c r="G449" s="15"/>
      <c r="I449" s="15"/>
    </row>
    <row r="450">
      <c r="E450" s="15"/>
      <c r="F450" s="17"/>
      <c r="G450" s="15"/>
      <c r="I450" s="15"/>
    </row>
    <row r="451">
      <c r="E451" s="15"/>
      <c r="F451" s="17"/>
      <c r="G451" s="15"/>
      <c r="I451" s="15"/>
    </row>
    <row r="452">
      <c r="E452" s="15"/>
      <c r="F452" s="17"/>
      <c r="G452" s="15"/>
      <c r="I452" s="15"/>
    </row>
    <row r="453">
      <c r="E453" s="15"/>
      <c r="F453" s="17"/>
      <c r="G453" s="15"/>
      <c r="I453" s="15"/>
    </row>
    <row r="454">
      <c r="E454" s="15"/>
      <c r="F454" s="17"/>
      <c r="G454" s="15"/>
      <c r="I454" s="15"/>
    </row>
    <row r="455">
      <c r="E455" s="15"/>
      <c r="F455" s="17"/>
      <c r="G455" s="15"/>
      <c r="I455" s="15"/>
    </row>
    <row r="456">
      <c r="E456" s="15"/>
      <c r="F456" s="17"/>
      <c r="G456" s="15"/>
      <c r="I456" s="15"/>
    </row>
    <row r="457">
      <c r="E457" s="15"/>
      <c r="F457" s="17"/>
      <c r="G457" s="15"/>
      <c r="I457" s="15"/>
    </row>
    <row r="458">
      <c r="E458" s="15"/>
      <c r="F458" s="17"/>
      <c r="G458" s="15"/>
      <c r="I458" s="15"/>
    </row>
    <row r="459">
      <c r="E459" s="15"/>
      <c r="F459" s="17"/>
      <c r="G459" s="15"/>
      <c r="I459" s="15"/>
    </row>
    <row r="460">
      <c r="E460" s="15"/>
      <c r="F460" s="17"/>
      <c r="G460" s="15"/>
      <c r="I460" s="15"/>
    </row>
    <row r="461">
      <c r="E461" s="15"/>
      <c r="F461" s="17"/>
      <c r="G461" s="15"/>
      <c r="I461" s="15"/>
    </row>
    <row r="462">
      <c r="E462" s="15"/>
      <c r="F462" s="17"/>
      <c r="G462" s="15"/>
      <c r="I462" s="15"/>
    </row>
    <row r="463">
      <c r="E463" s="15"/>
      <c r="F463" s="17"/>
      <c r="G463" s="15"/>
      <c r="I463" s="15"/>
    </row>
    <row r="464">
      <c r="E464" s="15"/>
      <c r="F464" s="17"/>
      <c r="G464" s="15"/>
      <c r="I464" s="15"/>
    </row>
    <row r="465">
      <c r="E465" s="15"/>
      <c r="F465" s="17"/>
      <c r="G465" s="15"/>
      <c r="I465" s="15"/>
    </row>
    <row r="466">
      <c r="E466" s="15"/>
      <c r="F466" s="17"/>
      <c r="G466" s="15"/>
      <c r="I466" s="15"/>
    </row>
    <row r="467">
      <c r="E467" s="15"/>
      <c r="F467" s="17"/>
      <c r="G467" s="15"/>
      <c r="I467" s="15"/>
    </row>
    <row r="468">
      <c r="E468" s="15"/>
      <c r="F468" s="17"/>
      <c r="G468" s="15"/>
      <c r="I468" s="15"/>
    </row>
    <row r="469">
      <c r="E469" s="15"/>
      <c r="F469" s="17"/>
      <c r="G469" s="15"/>
      <c r="I469" s="15"/>
    </row>
    <row r="470">
      <c r="E470" s="15"/>
      <c r="F470" s="17"/>
      <c r="G470" s="15"/>
      <c r="I470" s="15"/>
    </row>
    <row r="471">
      <c r="E471" s="15"/>
      <c r="F471" s="17"/>
      <c r="G471" s="15"/>
      <c r="I471" s="15"/>
    </row>
    <row r="472">
      <c r="E472" s="15"/>
      <c r="F472" s="17"/>
      <c r="G472" s="15"/>
      <c r="I472" s="15"/>
    </row>
    <row r="473">
      <c r="E473" s="15"/>
      <c r="F473" s="17"/>
      <c r="G473" s="15"/>
      <c r="I473" s="15"/>
    </row>
    <row r="474">
      <c r="E474" s="15"/>
      <c r="F474" s="17"/>
      <c r="G474" s="15"/>
      <c r="I474" s="15"/>
    </row>
    <row r="475">
      <c r="E475" s="15"/>
      <c r="F475" s="17"/>
      <c r="G475" s="15"/>
      <c r="I475" s="15"/>
    </row>
    <row r="476">
      <c r="E476" s="15"/>
      <c r="F476" s="17"/>
      <c r="G476" s="15"/>
      <c r="I476" s="15"/>
    </row>
    <row r="477">
      <c r="E477" s="15"/>
      <c r="F477" s="17"/>
      <c r="G477" s="15"/>
      <c r="I477" s="15"/>
    </row>
    <row r="478">
      <c r="E478" s="15"/>
      <c r="F478" s="17"/>
      <c r="G478" s="15"/>
      <c r="I478" s="15"/>
    </row>
    <row r="479">
      <c r="E479" s="15"/>
      <c r="F479" s="17"/>
      <c r="G479" s="15"/>
      <c r="I479" s="15"/>
    </row>
    <row r="480">
      <c r="E480" s="15"/>
      <c r="F480" s="17"/>
      <c r="G480" s="15"/>
      <c r="I480" s="15"/>
    </row>
    <row r="481">
      <c r="E481" s="15"/>
      <c r="F481" s="17"/>
      <c r="G481" s="15"/>
      <c r="I481" s="15"/>
    </row>
    <row r="482">
      <c r="E482" s="15"/>
      <c r="F482" s="17"/>
      <c r="G482" s="15"/>
      <c r="I482" s="15"/>
    </row>
    <row r="483">
      <c r="E483" s="15"/>
      <c r="F483" s="17"/>
      <c r="G483" s="15"/>
      <c r="I483" s="15"/>
    </row>
    <row r="484">
      <c r="E484" s="15"/>
      <c r="F484" s="17"/>
      <c r="G484" s="15"/>
      <c r="I484" s="15"/>
    </row>
    <row r="485">
      <c r="E485" s="15"/>
      <c r="F485" s="17"/>
      <c r="G485" s="15"/>
      <c r="I485" s="15"/>
    </row>
    <row r="486">
      <c r="E486" s="15"/>
      <c r="F486" s="17"/>
      <c r="G486" s="15"/>
      <c r="I486" s="15"/>
    </row>
    <row r="487">
      <c r="E487" s="15"/>
      <c r="F487" s="17"/>
      <c r="G487" s="15"/>
      <c r="I487" s="15"/>
    </row>
    <row r="488">
      <c r="E488" s="15"/>
      <c r="F488" s="17"/>
      <c r="G488" s="15"/>
      <c r="I488" s="15"/>
    </row>
    <row r="489">
      <c r="E489" s="15"/>
      <c r="F489" s="17"/>
      <c r="G489" s="15"/>
      <c r="I489" s="15"/>
    </row>
    <row r="490">
      <c r="E490" s="15"/>
      <c r="F490" s="17"/>
      <c r="G490" s="15"/>
      <c r="I490" s="15"/>
    </row>
    <row r="491">
      <c r="E491" s="15"/>
      <c r="F491" s="17"/>
      <c r="G491" s="15"/>
      <c r="I491" s="15"/>
    </row>
    <row r="492">
      <c r="E492" s="15"/>
      <c r="F492" s="17"/>
      <c r="G492" s="15"/>
      <c r="I492" s="15"/>
    </row>
    <row r="493">
      <c r="E493" s="15"/>
      <c r="F493" s="17"/>
      <c r="G493" s="15"/>
      <c r="I493" s="15"/>
    </row>
    <row r="494">
      <c r="E494" s="15"/>
      <c r="F494" s="17"/>
      <c r="G494" s="15"/>
      <c r="I494" s="15"/>
    </row>
    <row r="495">
      <c r="E495" s="15"/>
      <c r="F495" s="17"/>
      <c r="G495" s="15"/>
      <c r="I495" s="15"/>
    </row>
    <row r="496">
      <c r="E496" s="15"/>
      <c r="F496" s="17"/>
      <c r="G496" s="15"/>
      <c r="I496" s="15"/>
    </row>
    <row r="497">
      <c r="E497" s="15"/>
      <c r="F497" s="17"/>
      <c r="G497" s="15"/>
      <c r="I497" s="15"/>
    </row>
    <row r="498">
      <c r="E498" s="15"/>
      <c r="F498" s="17"/>
      <c r="G498" s="15"/>
      <c r="I498" s="15"/>
    </row>
    <row r="499">
      <c r="E499" s="15"/>
      <c r="F499" s="17"/>
      <c r="G499" s="15"/>
      <c r="I499" s="15"/>
    </row>
    <row r="500">
      <c r="E500" s="15"/>
      <c r="F500" s="17"/>
      <c r="G500" s="15"/>
      <c r="I500" s="15"/>
    </row>
    <row r="501">
      <c r="E501" s="15"/>
      <c r="F501" s="17"/>
      <c r="G501" s="15"/>
      <c r="I501" s="15"/>
    </row>
    <row r="502">
      <c r="E502" s="15"/>
      <c r="F502" s="17"/>
      <c r="G502" s="15"/>
      <c r="I502" s="15"/>
    </row>
    <row r="503">
      <c r="E503" s="15"/>
      <c r="F503" s="17"/>
      <c r="G503" s="15"/>
      <c r="I503" s="15"/>
    </row>
    <row r="504">
      <c r="E504" s="15"/>
      <c r="F504" s="17"/>
      <c r="G504" s="15"/>
      <c r="I504" s="15"/>
    </row>
    <row r="505">
      <c r="E505" s="15"/>
      <c r="F505" s="17"/>
      <c r="G505" s="15"/>
      <c r="I505" s="15"/>
    </row>
    <row r="506">
      <c r="E506" s="15"/>
      <c r="F506" s="17"/>
      <c r="G506" s="15"/>
      <c r="I506" s="15"/>
    </row>
    <row r="507">
      <c r="E507" s="15"/>
      <c r="F507" s="17"/>
      <c r="G507" s="15"/>
      <c r="I507" s="15"/>
    </row>
    <row r="508">
      <c r="E508" s="15"/>
      <c r="F508" s="17"/>
      <c r="G508" s="15"/>
      <c r="I508" s="15"/>
    </row>
    <row r="509">
      <c r="E509" s="15"/>
      <c r="F509" s="17"/>
      <c r="G509" s="15"/>
      <c r="I509" s="15"/>
    </row>
    <row r="510">
      <c r="E510" s="15"/>
      <c r="F510" s="17"/>
      <c r="G510" s="15"/>
      <c r="I510" s="15"/>
    </row>
    <row r="511">
      <c r="E511" s="15"/>
      <c r="F511" s="17"/>
      <c r="G511" s="15"/>
      <c r="I511" s="15"/>
    </row>
    <row r="512">
      <c r="E512" s="15"/>
      <c r="F512" s="17"/>
      <c r="G512" s="15"/>
      <c r="I512" s="15"/>
    </row>
    <row r="513">
      <c r="E513" s="15"/>
      <c r="F513" s="17"/>
      <c r="G513" s="15"/>
      <c r="I513" s="15"/>
    </row>
    <row r="514">
      <c r="E514" s="15"/>
      <c r="F514" s="17"/>
      <c r="G514" s="15"/>
      <c r="I514" s="15"/>
    </row>
    <row r="515">
      <c r="E515" s="15"/>
      <c r="F515" s="17"/>
      <c r="G515" s="15"/>
      <c r="I515" s="15"/>
    </row>
    <row r="516">
      <c r="E516" s="15"/>
      <c r="F516" s="17"/>
      <c r="G516" s="15"/>
      <c r="I516" s="15"/>
    </row>
    <row r="517">
      <c r="E517" s="15"/>
      <c r="F517" s="17"/>
      <c r="G517" s="15"/>
      <c r="I517" s="15"/>
    </row>
    <row r="518">
      <c r="E518" s="15"/>
      <c r="F518" s="17"/>
      <c r="G518" s="15"/>
      <c r="I518" s="15"/>
    </row>
    <row r="519">
      <c r="E519" s="15"/>
      <c r="F519" s="17"/>
      <c r="G519" s="15"/>
      <c r="I519" s="15"/>
    </row>
    <row r="520">
      <c r="E520" s="15"/>
      <c r="F520" s="17"/>
      <c r="G520" s="15"/>
      <c r="I520" s="15"/>
    </row>
    <row r="521">
      <c r="E521" s="15"/>
      <c r="F521" s="17"/>
      <c r="G521" s="15"/>
      <c r="I521" s="15"/>
    </row>
    <row r="522">
      <c r="E522" s="15"/>
      <c r="F522" s="17"/>
      <c r="G522" s="15"/>
      <c r="I522" s="15"/>
    </row>
    <row r="523">
      <c r="E523" s="15"/>
      <c r="F523" s="17"/>
      <c r="G523" s="15"/>
      <c r="I523" s="15"/>
    </row>
    <row r="524">
      <c r="E524" s="15"/>
      <c r="F524" s="17"/>
      <c r="G524" s="15"/>
      <c r="I524" s="15"/>
    </row>
    <row r="525">
      <c r="E525" s="15"/>
      <c r="F525" s="17"/>
      <c r="G525" s="15"/>
      <c r="I525" s="15"/>
    </row>
    <row r="526">
      <c r="E526" s="15"/>
      <c r="F526" s="17"/>
      <c r="G526" s="15"/>
      <c r="I526" s="15"/>
    </row>
    <row r="527">
      <c r="E527" s="15"/>
      <c r="F527" s="17"/>
      <c r="G527" s="15"/>
      <c r="I527" s="15"/>
    </row>
    <row r="528">
      <c r="E528" s="15"/>
      <c r="F528" s="17"/>
      <c r="G528" s="15"/>
      <c r="I528" s="15"/>
    </row>
    <row r="529">
      <c r="E529" s="15"/>
      <c r="F529" s="17"/>
      <c r="G529" s="15"/>
      <c r="I529" s="15"/>
    </row>
    <row r="530">
      <c r="E530" s="15"/>
      <c r="F530" s="17"/>
      <c r="G530" s="15"/>
      <c r="I530" s="15"/>
    </row>
    <row r="531">
      <c r="E531" s="15"/>
      <c r="F531" s="17"/>
      <c r="G531" s="15"/>
      <c r="I531" s="15"/>
    </row>
    <row r="532">
      <c r="E532" s="15"/>
      <c r="F532" s="17"/>
      <c r="G532" s="15"/>
      <c r="I532" s="15"/>
    </row>
    <row r="533">
      <c r="E533" s="15"/>
      <c r="F533" s="17"/>
      <c r="G533" s="15"/>
      <c r="I533" s="15"/>
    </row>
    <row r="534">
      <c r="E534" s="15"/>
      <c r="F534" s="17"/>
      <c r="G534" s="15"/>
      <c r="I534" s="15"/>
    </row>
    <row r="535">
      <c r="E535" s="15"/>
      <c r="F535" s="17"/>
      <c r="G535" s="15"/>
      <c r="I535" s="15"/>
    </row>
    <row r="536">
      <c r="E536" s="15"/>
      <c r="F536" s="17"/>
      <c r="G536" s="15"/>
      <c r="I536" s="15"/>
    </row>
    <row r="537">
      <c r="E537" s="15"/>
      <c r="F537" s="17"/>
      <c r="G537" s="15"/>
      <c r="I537" s="15"/>
    </row>
    <row r="538">
      <c r="E538" s="15"/>
      <c r="F538" s="17"/>
      <c r="G538" s="15"/>
      <c r="I538" s="15"/>
    </row>
    <row r="539">
      <c r="E539" s="15"/>
      <c r="F539" s="17"/>
      <c r="G539" s="15"/>
      <c r="I539" s="15"/>
    </row>
    <row r="540">
      <c r="E540" s="15"/>
      <c r="F540" s="17"/>
      <c r="G540" s="15"/>
      <c r="I540" s="15"/>
    </row>
    <row r="541">
      <c r="E541" s="15"/>
      <c r="F541" s="17"/>
      <c r="G541" s="15"/>
      <c r="I541" s="15"/>
    </row>
    <row r="542">
      <c r="E542" s="15"/>
      <c r="F542" s="17"/>
      <c r="G542" s="15"/>
      <c r="I542" s="15"/>
    </row>
    <row r="543">
      <c r="E543" s="15"/>
      <c r="F543" s="17"/>
      <c r="G543" s="15"/>
      <c r="I543" s="15"/>
    </row>
    <row r="544">
      <c r="E544" s="15"/>
      <c r="F544" s="17"/>
      <c r="G544" s="15"/>
      <c r="I544" s="15"/>
    </row>
    <row r="545">
      <c r="E545" s="15"/>
      <c r="F545" s="17"/>
      <c r="G545" s="15"/>
      <c r="I545" s="15"/>
    </row>
    <row r="546">
      <c r="E546" s="15"/>
      <c r="F546" s="17"/>
      <c r="G546" s="15"/>
      <c r="I546" s="15"/>
    </row>
    <row r="547">
      <c r="E547" s="15"/>
      <c r="F547" s="17"/>
      <c r="G547" s="15"/>
      <c r="I547" s="15"/>
    </row>
    <row r="548">
      <c r="E548" s="15"/>
      <c r="F548" s="17"/>
      <c r="G548" s="15"/>
      <c r="I548" s="15"/>
    </row>
    <row r="549">
      <c r="E549" s="15"/>
      <c r="F549" s="17"/>
      <c r="G549" s="15"/>
      <c r="I549" s="15"/>
    </row>
    <row r="550">
      <c r="E550" s="15"/>
      <c r="F550" s="17"/>
      <c r="G550" s="15"/>
      <c r="I550" s="15"/>
    </row>
    <row r="551">
      <c r="E551" s="15"/>
      <c r="F551" s="17"/>
      <c r="G551" s="15"/>
      <c r="I551" s="15"/>
    </row>
    <row r="552">
      <c r="E552" s="15"/>
      <c r="F552" s="17"/>
      <c r="G552" s="15"/>
      <c r="I552" s="15"/>
    </row>
    <row r="553">
      <c r="E553" s="15"/>
      <c r="F553" s="17"/>
      <c r="G553" s="15"/>
      <c r="I553" s="15"/>
    </row>
    <row r="554">
      <c r="E554" s="15"/>
      <c r="F554" s="17"/>
      <c r="G554" s="15"/>
      <c r="I554" s="15"/>
    </row>
    <row r="555">
      <c r="E555" s="15"/>
      <c r="F555" s="17"/>
      <c r="G555" s="15"/>
      <c r="I555" s="15"/>
    </row>
    <row r="556">
      <c r="E556" s="15"/>
      <c r="F556" s="17"/>
      <c r="G556" s="15"/>
      <c r="I556" s="15"/>
    </row>
    <row r="557">
      <c r="E557" s="15"/>
      <c r="F557" s="17"/>
      <c r="G557" s="15"/>
      <c r="I557" s="15"/>
    </row>
    <row r="558">
      <c r="E558" s="15"/>
      <c r="F558" s="17"/>
      <c r="G558" s="15"/>
      <c r="I558" s="15"/>
    </row>
    <row r="559">
      <c r="E559" s="15"/>
      <c r="F559" s="17"/>
      <c r="G559" s="15"/>
      <c r="I559" s="15"/>
    </row>
    <row r="560">
      <c r="E560" s="15"/>
      <c r="F560" s="17"/>
      <c r="G560" s="15"/>
      <c r="I560" s="15"/>
    </row>
    <row r="561">
      <c r="E561" s="15"/>
      <c r="F561" s="17"/>
      <c r="G561" s="15"/>
      <c r="I561" s="15"/>
    </row>
    <row r="562">
      <c r="E562" s="15"/>
      <c r="F562" s="17"/>
      <c r="G562" s="15"/>
      <c r="I562" s="15"/>
    </row>
    <row r="563">
      <c r="E563" s="15"/>
      <c r="F563" s="17"/>
      <c r="G563" s="15"/>
      <c r="I563" s="15"/>
    </row>
    <row r="564">
      <c r="E564" s="15"/>
      <c r="F564" s="17"/>
      <c r="G564" s="15"/>
      <c r="I564" s="15"/>
    </row>
    <row r="565">
      <c r="E565" s="15"/>
      <c r="F565" s="17"/>
      <c r="G565" s="15"/>
      <c r="I565" s="15"/>
    </row>
    <row r="566">
      <c r="E566" s="15"/>
      <c r="F566" s="17"/>
      <c r="G566" s="15"/>
      <c r="I566" s="15"/>
    </row>
    <row r="567">
      <c r="E567" s="15"/>
      <c r="F567" s="17"/>
      <c r="G567" s="15"/>
      <c r="I567" s="15"/>
    </row>
    <row r="568">
      <c r="E568" s="15"/>
      <c r="F568" s="17"/>
      <c r="G568" s="15"/>
      <c r="I568" s="15"/>
    </row>
    <row r="569">
      <c r="E569" s="15"/>
      <c r="F569" s="17"/>
      <c r="G569" s="15"/>
      <c r="I569" s="15"/>
    </row>
    <row r="570">
      <c r="E570" s="15"/>
      <c r="F570" s="17"/>
      <c r="G570" s="15"/>
      <c r="I570" s="15"/>
    </row>
    <row r="571">
      <c r="E571" s="15"/>
      <c r="F571" s="17"/>
      <c r="G571" s="15"/>
      <c r="I571" s="15"/>
    </row>
    <row r="572">
      <c r="E572" s="15"/>
      <c r="F572" s="17"/>
      <c r="G572" s="15"/>
      <c r="I572" s="15"/>
    </row>
    <row r="573">
      <c r="E573" s="15"/>
      <c r="F573" s="17"/>
      <c r="G573" s="15"/>
      <c r="I573" s="15"/>
    </row>
    <row r="574">
      <c r="E574" s="15"/>
      <c r="F574" s="17"/>
      <c r="G574" s="15"/>
      <c r="I574" s="15"/>
    </row>
    <row r="575">
      <c r="E575" s="15"/>
      <c r="F575" s="17"/>
      <c r="G575" s="15"/>
      <c r="I575" s="15"/>
    </row>
    <row r="576">
      <c r="E576" s="15"/>
      <c r="F576" s="17"/>
      <c r="G576" s="15"/>
      <c r="I576" s="15"/>
    </row>
    <row r="577">
      <c r="E577" s="15"/>
      <c r="F577" s="17"/>
      <c r="G577" s="15"/>
      <c r="I577" s="15"/>
    </row>
    <row r="578">
      <c r="E578" s="15"/>
      <c r="F578" s="17"/>
      <c r="G578" s="15"/>
      <c r="I578" s="15"/>
    </row>
    <row r="579">
      <c r="E579" s="15"/>
      <c r="F579" s="17"/>
      <c r="G579" s="15"/>
      <c r="I579" s="15"/>
    </row>
    <row r="580">
      <c r="E580" s="15"/>
      <c r="F580" s="17"/>
      <c r="G580" s="15"/>
      <c r="I580" s="15"/>
    </row>
    <row r="581">
      <c r="E581" s="15"/>
      <c r="F581" s="17"/>
      <c r="G581" s="15"/>
      <c r="I581" s="15"/>
    </row>
    <row r="582">
      <c r="E582" s="15"/>
      <c r="F582" s="17"/>
      <c r="G582" s="15"/>
      <c r="I582" s="15"/>
    </row>
    <row r="583">
      <c r="E583" s="15"/>
      <c r="F583" s="17"/>
      <c r="G583" s="15"/>
      <c r="I583" s="15"/>
    </row>
    <row r="584">
      <c r="E584" s="15"/>
      <c r="F584" s="17"/>
      <c r="G584" s="15"/>
      <c r="I584" s="15"/>
    </row>
    <row r="585">
      <c r="E585" s="15"/>
      <c r="F585" s="17"/>
      <c r="G585" s="15"/>
      <c r="I585" s="15"/>
    </row>
    <row r="586">
      <c r="E586" s="15"/>
      <c r="F586" s="17"/>
      <c r="G586" s="15"/>
      <c r="I586" s="15"/>
    </row>
    <row r="587">
      <c r="E587" s="15"/>
      <c r="F587" s="17"/>
      <c r="G587" s="15"/>
      <c r="I587" s="15"/>
    </row>
    <row r="588">
      <c r="E588" s="15"/>
      <c r="F588" s="17"/>
      <c r="G588" s="15"/>
      <c r="I588" s="15"/>
    </row>
    <row r="589">
      <c r="E589" s="15"/>
      <c r="F589" s="17"/>
      <c r="G589" s="15"/>
      <c r="I589" s="15"/>
    </row>
    <row r="590">
      <c r="E590" s="15"/>
      <c r="F590" s="17"/>
      <c r="G590" s="15"/>
      <c r="I590" s="15"/>
    </row>
    <row r="591">
      <c r="E591" s="15"/>
      <c r="F591" s="17"/>
      <c r="G591" s="15"/>
      <c r="I591" s="15"/>
    </row>
    <row r="592">
      <c r="E592" s="15"/>
      <c r="F592" s="17"/>
      <c r="G592" s="15"/>
      <c r="I592" s="15"/>
    </row>
    <row r="593">
      <c r="E593" s="15"/>
      <c r="F593" s="17"/>
      <c r="G593" s="15"/>
      <c r="I593" s="15"/>
    </row>
    <row r="594">
      <c r="E594" s="15"/>
      <c r="F594" s="17"/>
      <c r="G594" s="15"/>
      <c r="I594" s="15"/>
    </row>
    <row r="595">
      <c r="E595" s="15"/>
      <c r="F595" s="17"/>
      <c r="G595" s="15"/>
      <c r="I595" s="15"/>
    </row>
    <row r="596">
      <c r="E596" s="15"/>
      <c r="F596" s="17"/>
      <c r="G596" s="15"/>
      <c r="I596" s="15"/>
    </row>
    <row r="597">
      <c r="E597" s="15"/>
      <c r="F597" s="17"/>
      <c r="G597" s="15"/>
      <c r="I597" s="15"/>
    </row>
    <row r="598">
      <c r="E598" s="15"/>
      <c r="F598" s="17"/>
      <c r="G598" s="15"/>
      <c r="I598" s="15"/>
    </row>
    <row r="599">
      <c r="E599" s="15"/>
      <c r="F599" s="17"/>
      <c r="G599" s="15"/>
      <c r="I599" s="15"/>
    </row>
    <row r="600">
      <c r="E600" s="15"/>
      <c r="F600" s="17"/>
      <c r="G600" s="15"/>
      <c r="I600" s="15"/>
    </row>
    <row r="601">
      <c r="E601" s="15"/>
      <c r="F601" s="17"/>
      <c r="G601" s="15"/>
      <c r="I601" s="15"/>
    </row>
    <row r="602">
      <c r="E602" s="15"/>
      <c r="F602" s="17"/>
      <c r="G602" s="15"/>
      <c r="I602" s="15"/>
    </row>
    <row r="603">
      <c r="E603" s="15"/>
      <c r="F603" s="17"/>
      <c r="G603" s="15"/>
      <c r="I603" s="15"/>
    </row>
    <row r="604">
      <c r="E604" s="15"/>
      <c r="F604" s="17"/>
      <c r="G604" s="15"/>
      <c r="I604" s="15"/>
    </row>
    <row r="605">
      <c r="E605" s="15"/>
      <c r="F605" s="17"/>
      <c r="G605" s="15"/>
      <c r="I605" s="15"/>
    </row>
    <row r="606">
      <c r="E606" s="15"/>
      <c r="F606" s="17"/>
      <c r="G606" s="15"/>
      <c r="I606" s="15"/>
    </row>
    <row r="607">
      <c r="E607" s="15"/>
      <c r="F607" s="17"/>
      <c r="G607" s="15"/>
      <c r="I607" s="15"/>
    </row>
    <row r="608">
      <c r="E608" s="15"/>
      <c r="F608" s="17"/>
      <c r="G608" s="15"/>
      <c r="I608" s="15"/>
    </row>
    <row r="609">
      <c r="E609" s="15"/>
      <c r="F609" s="17"/>
      <c r="G609" s="15"/>
      <c r="I609" s="15"/>
    </row>
    <row r="610">
      <c r="E610" s="15"/>
      <c r="F610" s="17"/>
      <c r="G610" s="15"/>
      <c r="I610" s="15"/>
    </row>
    <row r="611">
      <c r="E611" s="15"/>
      <c r="F611" s="17"/>
      <c r="G611" s="15"/>
      <c r="I611" s="15"/>
    </row>
    <row r="612">
      <c r="E612" s="15"/>
      <c r="F612" s="17"/>
      <c r="G612" s="15"/>
      <c r="I612" s="15"/>
    </row>
    <row r="613">
      <c r="E613" s="15"/>
      <c r="F613" s="17"/>
      <c r="G613" s="15"/>
      <c r="I613" s="15"/>
    </row>
    <row r="614">
      <c r="E614" s="15"/>
      <c r="F614" s="17"/>
      <c r="G614" s="15"/>
      <c r="I614" s="15"/>
    </row>
    <row r="615">
      <c r="E615" s="15"/>
      <c r="F615" s="17"/>
      <c r="G615" s="15"/>
      <c r="I615" s="15"/>
    </row>
    <row r="616">
      <c r="E616" s="15"/>
      <c r="F616" s="17"/>
      <c r="G616" s="15"/>
      <c r="I616" s="15"/>
    </row>
    <row r="617">
      <c r="E617" s="15"/>
      <c r="F617" s="17"/>
      <c r="G617" s="15"/>
      <c r="I617" s="15"/>
    </row>
    <row r="618">
      <c r="E618" s="15"/>
      <c r="F618" s="17"/>
      <c r="G618" s="15"/>
      <c r="I618" s="15"/>
    </row>
    <row r="619">
      <c r="E619" s="15"/>
      <c r="F619" s="17"/>
      <c r="G619" s="15"/>
      <c r="I619" s="15"/>
    </row>
    <row r="620">
      <c r="E620" s="15"/>
      <c r="F620" s="17"/>
      <c r="G620" s="15"/>
      <c r="I620" s="15"/>
    </row>
    <row r="621">
      <c r="E621" s="15"/>
      <c r="F621" s="17"/>
      <c r="G621" s="15"/>
      <c r="I621" s="15"/>
    </row>
    <row r="622">
      <c r="E622" s="15"/>
      <c r="F622" s="17"/>
      <c r="G622" s="15"/>
      <c r="I622" s="15"/>
    </row>
    <row r="623">
      <c r="E623" s="15"/>
      <c r="F623" s="17"/>
      <c r="G623" s="15"/>
      <c r="I623" s="15"/>
    </row>
    <row r="624">
      <c r="E624" s="15"/>
      <c r="F624" s="17"/>
      <c r="G624" s="15"/>
      <c r="I624" s="15"/>
    </row>
    <row r="625">
      <c r="E625" s="15"/>
      <c r="F625" s="17"/>
      <c r="G625" s="15"/>
      <c r="I625" s="15"/>
    </row>
    <row r="626">
      <c r="E626" s="15"/>
      <c r="F626" s="17"/>
      <c r="G626" s="15"/>
      <c r="I626" s="15"/>
    </row>
    <row r="627">
      <c r="E627" s="15"/>
      <c r="F627" s="17"/>
      <c r="G627" s="15"/>
      <c r="I627" s="15"/>
    </row>
    <row r="628">
      <c r="E628" s="15"/>
      <c r="F628" s="17"/>
      <c r="G628" s="15"/>
      <c r="I628" s="15"/>
    </row>
    <row r="629">
      <c r="E629" s="15"/>
      <c r="F629" s="17"/>
      <c r="G629" s="15"/>
      <c r="I629" s="15"/>
    </row>
    <row r="630">
      <c r="E630" s="15"/>
      <c r="F630" s="17"/>
      <c r="G630" s="15"/>
      <c r="I630" s="15"/>
    </row>
    <row r="631">
      <c r="E631" s="15"/>
      <c r="F631" s="17"/>
      <c r="G631" s="15"/>
      <c r="I631" s="15"/>
    </row>
    <row r="632">
      <c r="E632" s="15"/>
      <c r="F632" s="17"/>
      <c r="G632" s="15"/>
      <c r="I632" s="15"/>
    </row>
    <row r="633">
      <c r="E633" s="15"/>
      <c r="F633" s="17"/>
      <c r="G633" s="15"/>
      <c r="I633" s="15"/>
    </row>
    <row r="634">
      <c r="E634" s="15"/>
      <c r="F634" s="17"/>
      <c r="G634" s="15"/>
      <c r="I634" s="15"/>
    </row>
    <row r="635">
      <c r="E635" s="15"/>
      <c r="F635" s="17"/>
      <c r="G635" s="15"/>
      <c r="I635" s="15"/>
    </row>
    <row r="636">
      <c r="E636" s="15"/>
      <c r="F636" s="17"/>
      <c r="G636" s="15"/>
      <c r="I636" s="15"/>
    </row>
    <row r="637">
      <c r="E637" s="15"/>
      <c r="F637" s="17"/>
      <c r="G637" s="15"/>
      <c r="I637" s="15"/>
    </row>
    <row r="638">
      <c r="E638" s="15"/>
      <c r="F638" s="17"/>
      <c r="G638" s="15"/>
      <c r="I638" s="15"/>
    </row>
    <row r="639">
      <c r="E639" s="15"/>
      <c r="F639" s="17"/>
      <c r="G639" s="15"/>
      <c r="I639" s="15"/>
    </row>
    <row r="640">
      <c r="E640" s="15"/>
      <c r="F640" s="17"/>
      <c r="G640" s="15"/>
      <c r="I640" s="15"/>
    </row>
    <row r="641">
      <c r="E641" s="15"/>
      <c r="F641" s="17"/>
      <c r="G641" s="15"/>
      <c r="I641" s="15"/>
    </row>
    <row r="642">
      <c r="E642" s="15"/>
      <c r="F642" s="17"/>
      <c r="G642" s="15"/>
      <c r="I642" s="15"/>
    </row>
    <row r="643">
      <c r="E643" s="15"/>
      <c r="F643" s="17"/>
      <c r="G643" s="15"/>
      <c r="I643" s="15"/>
    </row>
    <row r="644">
      <c r="E644" s="15"/>
      <c r="F644" s="17"/>
      <c r="G644" s="15"/>
      <c r="I644" s="15"/>
    </row>
    <row r="645">
      <c r="E645" s="15"/>
      <c r="F645" s="17"/>
      <c r="G645" s="15"/>
      <c r="I645" s="15"/>
    </row>
    <row r="646">
      <c r="E646" s="15"/>
      <c r="F646" s="17"/>
      <c r="G646" s="15"/>
      <c r="I646" s="15"/>
    </row>
    <row r="647">
      <c r="E647" s="15"/>
      <c r="F647" s="17"/>
      <c r="G647" s="15"/>
      <c r="I647" s="15"/>
    </row>
    <row r="648">
      <c r="E648" s="15"/>
      <c r="F648" s="17"/>
      <c r="G648" s="15"/>
      <c r="I648" s="15"/>
    </row>
    <row r="649">
      <c r="E649" s="15"/>
      <c r="F649" s="17"/>
      <c r="G649" s="15"/>
      <c r="I649" s="15"/>
    </row>
    <row r="650">
      <c r="E650" s="15"/>
      <c r="F650" s="17"/>
      <c r="G650" s="15"/>
      <c r="I650" s="15"/>
    </row>
    <row r="651">
      <c r="E651" s="15"/>
      <c r="F651" s="17"/>
      <c r="G651" s="15"/>
      <c r="I651" s="15"/>
    </row>
    <row r="652">
      <c r="E652" s="15"/>
      <c r="F652" s="17"/>
      <c r="G652" s="15"/>
      <c r="I652" s="15"/>
    </row>
    <row r="653">
      <c r="E653" s="15"/>
      <c r="F653" s="17"/>
      <c r="G653" s="15"/>
      <c r="I653" s="15"/>
    </row>
    <row r="654">
      <c r="E654" s="15"/>
      <c r="F654" s="17"/>
      <c r="G654" s="15"/>
      <c r="I654" s="15"/>
    </row>
    <row r="655">
      <c r="E655" s="15"/>
      <c r="F655" s="17"/>
      <c r="G655" s="15"/>
      <c r="I655" s="15"/>
    </row>
    <row r="656">
      <c r="E656" s="15"/>
      <c r="F656" s="17"/>
      <c r="G656" s="15"/>
      <c r="I656" s="15"/>
    </row>
    <row r="657">
      <c r="E657" s="15"/>
      <c r="F657" s="17"/>
      <c r="G657" s="15"/>
      <c r="I657" s="15"/>
    </row>
    <row r="658">
      <c r="E658" s="15"/>
      <c r="F658" s="17"/>
      <c r="G658" s="15"/>
      <c r="I658" s="15"/>
    </row>
    <row r="659">
      <c r="E659" s="15"/>
      <c r="F659" s="17"/>
      <c r="G659" s="15"/>
      <c r="I659" s="15"/>
    </row>
    <row r="660">
      <c r="E660" s="15"/>
      <c r="F660" s="17"/>
      <c r="G660" s="15"/>
      <c r="I660" s="15"/>
    </row>
    <row r="661">
      <c r="E661" s="15"/>
      <c r="F661" s="17"/>
      <c r="G661" s="15"/>
      <c r="I661" s="15"/>
    </row>
    <row r="662">
      <c r="E662" s="15"/>
      <c r="F662" s="17"/>
      <c r="G662" s="15"/>
      <c r="I662" s="15"/>
    </row>
    <row r="663">
      <c r="E663" s="15"/>
      <c r="F663" s="17"/>
      <c r="G663" s="15"/>
      <c r="I663" s="15"/>
    </row>
    <row r="664">
      <c r="E664" s="15"/>
      <c r="F664" s="17"/>
      <c r="G664" s="15"/>
      <c r="I664" s="15"/>
    </row>
    <row r="665">
      <c r="E665" s="15"/>
      <c r="F665" s="17"/>
      <c r="G665" s="15"/>
      <c r="I665" s="15"/>
    </row>
    <row r="666">
      <c r="E666" s="15"/>
      <c r="F666" s="17"/>
      <c r="G666" s="15"/>
      <c r="I666" s="15"/>
    </row>
    <row r="667">
      <c r="E667" s="15"/>
      <c r="F667" s="17"/>
      <c r="G667" s="15"/>
      <c r="I667" s="15"/>
    </row>
    <row r="668">
      <c r="E668" s="15"/>
      <c r="F668" s="17"/>
      <c r="G668" s="15"/>
      <c r="I668" s="15"/>
    </row>
    <row r="669">
      <c r="E669" s="15"/>
      <c r="F669" s="17"/>
      <c r="G669" s="15"/>
      <c r="I669" s="15"/>
    </row>
    <row r="670">
      <c r="E670" s="15"/>
      <c r="F670" s="17"/>
      <c r="G670" s="15"/>
      <c r="I670" s="15"/>
    </row>
    <row r="671">
      <c r="E671" s="15"/>
      <c r="F671" s="17"/>
      <c r="G671" s="15"/>
      <c r="I671" s="15"/>
    </row>
    <row r="672">
      <c r="E672" s="15"/>
      <c r="F672" s="17"/>
      <c r="G672" s="15"/>
      <c r="I672" s="15"/>
    </row>
    <row r="673">
      <c r="E673" s="15"/>
      <c r="F673" s="17"/>
      <c r="G673" s="15"/>
      <c r="I673" s="15"/>
    </row>
    <row r="674">
      <c r="E674" s="15"/>
      <c r="F674" s="17"/>
      <c r="G674" s="15"/>
      <c r="I674" s="15"/>
    </row>
    <row r="675">
      <c r="E675" s="15"/>
      <c r="F675" s="17"/>
      <c r="G675" s="15"/>
      <c r="I675" s="15"/>
    </row>
    <row r="676">
      <c r="E676" s="15"/>
      <c r="F676" s="17"/>
      <c r="G676" s="15"/>
      <c r="I676" s="15"/>
    </row>
    <row r="677">
      <c r="E677" s="15"/>
      <c r="F677" s="17"/>
      <c r="G677" s="15"/>
      <c r="I677" s="15"/>
    </row>
    <row r="678">
      <c r="E678" s="15"/>
      <c r="F678" s="17"/>
      <c r="G678" s="15"/>
      <c r="I678" s="15"/>
    </row>
    <row r="679">
      <c r="E679" s="15"/>
      <c r="F679" s="17"/>
      <c r="G679" s="15"/>
      <c r="I679" s="15"/>
    </row>
    <row r="680">
      <c r="E680" s="15"/>
      <c r="F680" s="17"/>
      <c r="G680" s="15"/>
      <c r="I680" s="15"/>
    </row>
    <row r="681">
      <c r="E681" s="15"/>
      <c r="F681" s="17"/>
      <c r="G681" s="15"/>
      <c r="I681" s="15"/>
    </row>
    <row r="682">
      <c r="E682" s="15"/>
      <c r="F682" s="17"/>
      <c r="G682" s="15"/>
      <c r="I682" s="15"/>
    </row>
    <row r="683">
      <c r="E683" s="15"/>
      <c r="F683" s="17"/>
      <c r="G683" s="15"/>
      <c r="I683" s="15"/>
    </row>
    <row r="684">
      <c r="E684" s="15"/>
      <c r="F684" s="17"/>
      <c r="G684" s="15"/>
      <c r="I684" s="15"/>
    </row>
    <row r="685">
      <c r="E685" s="15"/>
      <c r="F685" s="17"/>
      <c r="G685" s="15"/>
      <c r="I685" s="15"/>
    </row>
    <row r="686">
      <c r="E686" s="15"/>
      <c r="F686" s="17"/>
      <c r="G686" s="15"/>
      <c r="I686" s="15"/>
    </row>
    <row r="687">
      <c r="E687" s="15"/>
      <c r="F687" s="17"/>
      <c r="G687" s="15"/>
      <c r="I687" s="15"/>
    </row>
    <row r="688">
      <c r="E688" s="15"/>
      <c r="F688" s="17"/>
      <c r="G688" s="15"/>
      <c r="I688" s="15"/>
    </row>
    <row r="689">
      <c r="E689" s="15"/>
      <c r="F689" s="17"/>
      <c r="G689" s="15"/>
      <c r="I689" s="15"/>
    </row>
    <row r="690">
      <c r="E690" s="15"/>
      <c r="F690" s="17"/>
      <c r="G690" s="15"/>
      <c r="I690" s="15"/>
    </row>
    <row r="691">
      <c r="E691" s="15"/>
      <c r="F691" s="17"/>
      <c r="G691" s="15"/>
      <c r="I691" s="15"/>
    </row>
    <row r="692">
      <c r="E692" s="15"/>
      <c r="F692" s="17"/>
      <c r="G692" s="15"/>
      <c r="I692" s="15"/>
    </row>
    <row r="693">
      <c r="E693" s="15"/>
      <c r="F693" s="17"/>
      <c r="G693" s="15"/>
      <c r="I693" s="15"/>
    </row>
    <row r="694">
      <c r="E694" s="15"/>
      <c r="F694" s="17"/>
      <c r="G694" s="15"/>
      <c r="I694" s="15"/>
    </row>
    <row r="695">
      <c r="E695" s="15"/>
      <c r="F695" s="17"/>
      <c r="G695" s="15"/>
      <c r="I695" s="15"/>
    </row>
    <row r="696">
      <c r="E696" s="15"/>
      <c r="F696" s="17"/>
      <c r="G696" s="15"/>
      <c r="I696" s="15"/>
    </row>
    <row r="697">
      <c r="E697" s="15"/>
      <c r="F697" s="17"/>
      <c r="G697" s="15"/>
      <c r="I697" s="15"/>
    </row>
    <row r="698">
      <c r="E698" s="15"/>
      <c r="F698" s="17"/>
      <c r="G698" s="15"/>
      <c r="I698" s="15"/>
    </row>
    <row r="699">
      <c r="E699" s="15"/>
      <c r="F699" s="17"/>
      <c r="G699" s="15"/>
      <c r="I699" s="15"/>
    </row>
    <row r="700">
      <c r="E700" s="15"/>
      <c r="F700" s="17"/>
      <c r="G700" s="15"/>
      <c r="I700" s="15"/>
    </row>
    <row r="701">
      <c r="E701" s="15"/>
      <c r="F701" s="17"/>
      <c r="G701" s="15"/>
      <c r="I701" s="15"/>
    </row>
    <row r="702">
      <c r="E702" s="15"/>
      <c r="F702" s="17"/>
      <c r="G702" s="15"/>
      <c r="I702" s="15"/>
    </row>
    <row r="703">
      <c r="E703" s="15"/>
      <c r="F703" s="17"/>
      <c r="G703" s="15"/>
      <c r="I703" s="15"/>
    </row>
    <row r="704">
      <c r="E704" s="15"/>
      <c r="F704" s="17"/>
      <c r="G704" s="15"/>
      <c r="I704" s="15"/>
    </row>
    <row r="705">
      <c r="E705" s="15"/>
      <c r="F705" s="17"/>
      <c r="G705" s="15"/>
      <c r="I705" s="15"/>
    </row>
    <row r="706">
      <c r="E706" s="15"/>
      <c r="F706" s="17"/>
      <c r="G706" s="15"/>
      <c r="I706" s="15"/>
    </row>
    <row r="707">
      <c r="E707" s="15"/>
      <c r="F707" s="17"/>
      <c r="G707" s="15"/>
      <c r="I707" s="15"/>
    </row>
    <row r="708">
      <c r="E708" s="15"/>
      <c r="F708" s="17"/>
      <c r="G708" s="15"/>
      <c r="I708" s="15"/>
    </row>
    <row r="709">
      <c r="E709" s="15"/>
      <c r="F709" s="17"/>
      <c r="G709" s="15"/>
      <c r="I709" s="15"/>
    </row>
    <row r="710">
      <c r="E710" s="15"/>
      <c r="F710" s="17"/>
      <c r="G710" s="15"/>
      <c r="I710" s="15"/>
    </row>
    <row r="711">
      <c r="E711" s="15"/>
      <c r="F711" s="17"/>
      <c r="G711" s="15"/>
      <c r="I711" s="15"/>
    </row>
    <row r="712">
      <c r="E712" s="15"/>
      <c r="F712" s="17"/>
      <c r="G712" s="15"/>
      <c r="I712" s="15"/>
    </row>
    <row r="713">
      <c r="E713" s="15"/>
      <c r="F713" s="17"/>
      <c r="G713" s="15"/>
      <c r="I713" s="15"/>
    </row>
    <row r="714">
      <c r="E714" s="15"/>
      <c r="F714" s="17"/>
      <c r="G714" s="15"/>
      <c r="I714" s="15"/>
    </row>
    <row r="715">
      <c r="E715" s="15"/>
      <c r="F715" s="17"/>
      <c r="G715" s="15"/>
      <c r="I715" s="15"/>
    </row>
    <row r="716">
      <c r="E716" s="15"/>
      <c r="F716" s="17"/>
      <c r="G716" s="15"/>
      <c r="I716" s="15"/>
    </row>
    <row r="717">
      <c r="E717" s="15"/>
      <c r="F717" s="17"/>
      <c r="G717" s="15"/>
      <c r="I717" s="15"/>
    </row>
    <row r="718">
      <c r="E718" s="15"/>
      <c r="F718" s="17"/>
      <c r="G718" s="15"/>
      <c r="I718" s="15"/>
    </row>
    <row r="719">
      <c r="E719" s="15"/>
      <c r="F719" s="17"/>
      <c r="G719" s="15"/>
      <c r="I719" s="15"/>
    </row>
    <row r="720">
      <c r="E720" s="15"/>
      <c r="F720" s="17"/>
      <c r="G720" s="15"/>
      <c r="I720" s="15"/>
    </row>
    <row r="721">
      <c r="E721" s="15"/>
      <c r="F721" s="17"/>
      <c r="G721" s="15"/>
      <c r="I721" s="15"/>
    </row>
    <row r="722">
      <c r="E722" s="15"/>
      <c r="F722" s="17"/>
      <c r="G722" s="15"/>
      <c r="I722" s="15"/>
    </row>
    <row r="723">
      <c r="E723" s="15"/>
      <c r="F723" s="17"/>
      <c r="G723" s="15"/>
      <c r="I723" s="15"/>
    </row>
    <row r="724">
      <c r="E724" s="15"/>
      <c r="F724" s="17"/>
      <c r="G724" s="15"/>
      <c r="I724" s="15"/>
    </row>
    <row r="725">
      <c r="E725" s="15"/>
      <c r="F725" s="17"/>
      <c r="G725" s="15"/>
      <c r="I725" s="15"/>
    </row>
    <row r="726">
      <c r="E726" s="15"/>
      <c r="F726" s="17"/>
      <c r="G726" s="15"/>
      <c r="I726" s="15"/>
    </row>
    <row r="727">
      <c r="E727" s="15"/>
      <c r="F727" s="17"/>
      <c r="G727" s="15"/>
      <c r="I727" s="15"/>
    </row>
    <row r="728">
      <c r="E728" s="15"/>
      <c r="F728" s="17"/>
      <c r="G728" s="15"/>
      <c r="I728" s="15"/>
    </row>
    <row r="729">
      <c r="E729" s="15"/>
      <c r="F729" s="17"/>
      <c r="G729" s="15"/>
      <c r="I729" s="15"/>
    </row>
    <row r="730">
      <c r="E730" s="15"/>
      <c r="F730" s="17"/>
      <c r="G730" s="15"/>
      <c r="I730" s="15"/>
    </row>
    <row r="731">
      <c r="E731" s="15"/>
      <c r="F731" s="17"/>
      <c r="G731" s="15"/>
      <c r="I731" s="15"/>
    </row>
    <row r="732">
      <c r="E732" s="15"/>
      <c r="F732" s="17"/>
      <c r="G732" s="15"/>
      <c r="I732" s="15"/>
    </row>
    <row r="733">
      <c r="E733" s="15"/>
      <c r="F733" s="17"/>
      <c r="G733" s="15"/>
      <c r="I733" s="15"/>
    </row>
    <row r="734">
      <c r="E734" s="15"/>
      <c r="F734" s="17"/>
      <c r="G734" s="15"/>
      <c r="I734" s="15"/>
    </row>
    <row r="735">
      <c r="E735" s="15"/>
      <c r="F735" s="17"/>
      <c r="G735" s="15"/>
      <c r="I735" s="15"/>
    </row>
    <row r="736">
      <c r="E736" s="15"/>
      <c r="F736" s="17"/>
      <c r="G736" s="15"/>
      <c r="I736" s="15"/>
    </row>
    <row r="737">
      <c r="E737" s="15"/>
      <c r="F737" s="17"/>
      <c r="G737" s="15"/>
      <c r="I737" s="15"/>
    </row>
    <row r="738">
      <c r="E738" s="15"/>
      <c r="F738" s="17"/>
      <c r="G738" s="15"/>
      <c r="I738" s="15"/>
    </row>
    <row r="739">
      <c r="E739" s="15"/>
      <c r="F739" s="17"/>
      <c r="G739" s="15"/>
      <c r="I739" s="15"/>
    </row>
    <row r="740">
      <c r="E740" s="15"/>
      <c r="F740" s="17"/>
      <c r="G740" s="15"/>
      <c r="I740" s="15"/>
    </row>
    <row r="741">
      <c r="E741" s="15"/>
      <c r="F741" s="17"/>
      <c r="G741" s="15"/>
      <c r="I741" s="15"/>
    </row>
    <row r="742">
      <c r="E742" s="15"/>
      <c r="F742" s="17"/>
      <c r="G742" s="15"/>
      <c r="I742" s="15"/>
    </row>
    <row r="743">
      <c r="E743" s="15"/>
      <c r="F743" s="17"/>
      <c r="G743" s="15"/>
      <c r="I743" s="15"/>
    </row>
    <row r="744">
      <c r="E744" s="15"/>
      <c r="F744" s="17"/>
      <c r="G744" s="15"/>
      <c r="I744" s="15"/>
    </row>
    <row r="745">
      <c r="E745" s="15"/>
      <c r="F745" s="17"/>
      <c r="G745" s="15"/>
      <c r="I745" s="15"/>
    </row>
    <row r="746">
      <c r="E746" s="15"/>
      <c r="F746" s="17"/>
      <c r="G746" s="15"/>
      <c r="I746" s="15"/>
    </row>
    <row r="747">
      <c r="E747" s="15"/>
      <c r="F747" s="17"/>
      <c r="G747" s="15"/>
      <c r="I747" s="15"/>
    </row>
    <row r="748">
      <c r="E748" s="15"/>
      <c r="F748" s="17"/>
      <c r="G748" s="15"/>
      <c r="I748" s="15"/>
    </row>
    <row r="749">
      <c r="E749" s="15"/>
      <c r="F749" s="17"/>
      <c r="G749" s="15"/>
      <c r="I749" s="15"/>
    </row>
    <row r="750">
      <c r="E750" s="15"/>
      <c r="F750" s="17"/>
      <c r="G750" s="15"/>
      <c r="I750" s="15"/>
    </row>
    <row r="751">
      <c r="E751" s="15"/>
      <c r="F751" s="17"/>
      <c r="G751" s="15"/>
      <c r="I751" s="15"/>
    </row>
    <row r="752">
      <c r="E752" s="15"/>
      <c r="F752" s="17"/>
      <c r="G752" s="15"/>
      <c r="I752" s="15"/>
    </row>
    <row r="753">
      <c r="E753" s="15"/>
      <c r="F753" s="17"/>
      <c r="G753" s="15"/>
      <c r="I753" s="15"/>
    </row>
    <row r="754">
      <c r="E754" s="15"/>
      <c r="F754" s="17"/>
      <c r="G754" s="15"/>
      <c r="I754" s="15"/>
    </row>
    <row r="755">
      <c r="E755" s="15"/>
      <c r="F755" s="17"/>
      <c r="G755" s="15"/>
      <c r="I755" s="15"/>
    </row>
    <row r="756">
      <c r="E756" s="15"/>
      <c r="F756" s="17"/>
      <c r="G756" s="15"/>
      <c r="I756" s="15"/>
    </row>
    <row r="757">
      <c r="E757" s="15"/>
      <c r="F757" s="17"/>
      <c r="G757" s="15"/>
      <c r="I757" s="15"/>
    </row>
    <row r="758">
      <c r="E758" s="15"/>
      <c r="F758" s="17"/>
      <c r="G758" s="15"/>
      <c r="I758" s="15"/>
    </row>
    <row r="759">
      <c r="E759" s="15"/>
      <c r="F759" s="17"/>
      <c r="G759" s="15"/>
      <c r="I759" s="15"/>
    </row>
    <row r="760">
      <c r="E760" s="15"/>
      <c r="F760" s="17"/>
      <c r="G760" s="15"/>
      <c r="I760" s="15"/>
    </row>
    <row r="761">
      <c r="E761" s="15"/>
      <c r="F761" s="17"/>
      <c r="G761" s="15"/>
      <c r="I761" s="15"/>
    </row>
    <row r="762">
      <c r="E762" s="15"/>
      <c r="F762" s="17"/>
      <c r="G762" s="15"/>
      <c r="I762" s="15"/>
    </row>
    <row r="763">
      <c r="E763" s="15"/>
      <c r="F763" s="17"/>
      <c r="G763" s="15"/>
      <c r="I763" s="15"/>
    </row>
    <row r="764">
      <c r="E764" s="15"/>
      <c r="F764" s="17"/>
      <c r="G764" s="15"/>
      <c r="I764" s="15"/>
    </row>
    <row r="765">
      <c r="E765" s="15"/>
      <c r="F765" s="17"/>
      <c r="G765" s="15"/>
      <c r="I765" s="15"/>
    </row>
    <row r="766">
      <c r="E766" s="15"/>
      <c r="F766" s="17"/>
      <c r="G766" s="15"/>
      <c r="I766" s="15"/>
    </row>
    <row r="767">
      <c r="E767" s="15"/>
      <c r="F767" s="17"/>
      <c r="G767" s="15"/>
      <c r="I767" s="15"/>
    </row>
    <row r="768">
      <c r="E768" s="15"/>
      <c r="F768" s="17"/>
      <c r="G768" s="15"/>
      <c r="I768" s="15"/>
    </row>
    <row r="769">
      <c r="E769" s="15"/>
      <c r="F769" s="17"/>
      <c r="G769" s="15"/>
      <c r="I769" s="15"/>
    </row>
    <row r="770">
      <c r="E770" s="15"/>
      <c r="F770" s="17"/>
      <c r="G770" s="15"/>
      <c r="I770" s="15"/>
    </row>
    <row r="771">
      <c r="E771" s="15"/>
      <c r="F771" s="17"/>
      <c r="G771" s="15"/>
      <c r="I771" s="15"/>
    </row>
    <row r="772">
      <c r="E772" s="15"/>
      <c r="F772" s="17"/>
      <c r="G772" s="15"/>
      <c r="I772" s="15"/>
    </row>
    <row r="773">
      <c r="E773" s="15"/>
      <c r="F773" s="17"/>
      <c r="G773" s="15"/>
      <c r="I773" s="15"/>
    </row>
    <row r="774">
      <c r="E774" s="15"/>
      <c r="F774" s="17"/>
      <c r="G774" s="15"/>
      <c r="I774" s="15"/>
    </row>
    <row r="775">
      <c r="E775" s="15"/>
      <c r="F775" s="17"/>
      <c r="G775" s="15"/>
      <c r="I775" s="15"/>
    </row>
    <row r="776">
      <c r="E776" s="15"/>
      <c r="F776" s="17"/>
      <c r="G776" s="15"/>
      <c r="I776" s="15"/>
    </row>
    <row r="777">
      <c r="E777" s="15"/>
      <c r="F777" s="17"/>
      <c r="G777" s="15"/>
      <c r="I777" s="15"/>
    </row>
    <row r="778">
      <c r="E778" s="15"/>
      <c r="F778" s="17"/>
      <c r="G778" s="15"/>
      <c r="I778" s="15"/>
    </row>
    <row r="779">
      <c r="E779" s="15"/>
      <c r="F779" s="17"/>
      <c r="G779" s="15"/>
      <c r="I779" s="15"/>
    </row>
    <row r="780">
      <c r="E780" s="15"/>
      <c r="F780" s="17"/>
      <c r="G780" s="15"/>
      <c r="I780" s="15"/>
    </row>
    <row r="781">
      <c r="E781" s="15"/>
      <c r="F781" s="17"/>
      <c r="G781" s="15"/>
      <c r="I781" s="15"/>
    </row>
    <row r="782">
      <c r="E782" s="15"/>
      <c r="F782" s="17"/>
      <c r="G782" s="15"/>
      <c r="I782" s="15"/>
    </row>
    <row r="783">
      <c r="E783" s="15"/>
      <c r="F783" s="17"/>
      <c r="G783" s="15"/>
      <c r="I783" s="15"/>
    </row>
    <row r="784">
      <c r="E784" s="15"/>
      <c r="F784" s="17"/>
      <c r="G784" s="15"/>
      <c r="I784" s="15"/>
    </row>
    <row r="785">
      <c r="E785" s="15"/>
      <c r="F785" s="17"/>
      <c r="G785" s="15"/>
      <c r="I785" s="15"/>
    </row>
    <row r="786">
      <c r="E786" s="15"/>
      <c r="F786" s="17"/>
      <c r="G786" s="15"/>
      <c r="I786" s="15"/>
    </row>
    <row r="787">
      <c r="E787" s="15"/>
      <c r="F787" s="17"/>
      <c r="G787" s="15"/>
      <c r="I787" s="15"/>
    </row>
    <row r="788">
      <c r="E788" s="15"/>
      <c r="F788" s="17"/>
      <c r="G788" s="15"/>
      <c r="I788" s="15"/>
    </row>
    <row r="789">
      <c r="E789" s="15"/>
      <c r="F789" s="17"/>
      <c r="G789" s="15"/>
      <c r="I789" s="15"/>
    </row>
    <row r="790">
      <c r="E790" s="15"/>
      <c r="F790" s="17"/>
      <c r="G790" s="15"/>
      <c r="I790" s="15"/>
    </row>
    <row r="791">
      <c r="E791" s="15"/>
      <c r="F791" s="17"/>
      <c r="G791" s="15"/>
      <c r="I791" s="15"/>
    </row>
    <row r="792">
      <c r="E792" s="15"/>
      <c r="F792" s="17"/>
      <c r="G792" s="15"/>
      <c r="I792" s="15"/>
    </row>
    <row r="793">
      <c r="E793" s="15"/>
      <c r="F793" s="17"/>
      <c r="G793" s="15"/>
      <c r="I793" s="15"/>
    </row>
    <row r="794">
      <c r="E794" s="15"/>
      <c r="F794" s="17"/>
      <c r="G794" s="15"/>
      <c r="I794" s="15"/>
    </row>
    <row r="795">
      <c r="E795" s="15"/>
      <c r="F795" s="17"/>
      <c r="G795" s="15"/>
      <c r="I795" s="15"/>
    </row>
    <row r="796">
      <c r="E796" s="15"/>
      <c r="F796" s="17"/>
      <c r="G796" s="15"/>
      <c r="I796" s="15"/>
    </row>
    <row r="797">
      <c r="E797" s="15"/>
      <c r="F797" s="17"/>
      <c r="G797" s="15"/>
      <c r="I797" s="15"/>
    </row>
    <row r="798">
      <c r="E798" s="15"/>
      <c r="F798" s="17"/>
      <c r="G798" s="15"/>
      <c r="I798" s="15"/>
    </row>
    <row r="799">
      <c r="E799" s="15"/>
      <c r="F799" s="17"/>
      <c r="G799" s="15"/>
      <c r="I799" s="15"/>
    </row>
    <row r="800">
      <c r="E800" s="15"/>
      <c r="F800" s="17"/>
      <c r="G800" s="15"/>
      <c r="I800" s="15"/>
    </row>
    <row r="801">
      <c r="E801" s="15"/>
      <c r="F801" s="17"/>
      <c r="G801" s="15"/>
      <c r="I801" s="15"/>
    </row>
    <row r="802">
      <c r="E802" s="15"/>
      <c r="F802" s="17"/>
      <c r="G802" s="15"/>
      <c r="I802" s="15"/>
    </row>
    <row r="803">
      <c r="E803" s="15"/>
      <c r="F803" s="17"/>
      <c r="G803" s="15"/>
      <c r="I803" s="15"/>
    </row>
    <row r="804">
      <c r="E804" s="15"/>
      <c r="F804" s="17"/>
      <c r="G804" s="15"/>
      <c r="I804" s="15"/>
    </row>
    <row r="805">
      <c r="E805" s="15"/>
      <c r="F805" s="17"/>
      <c r="G805" s="15"/>
      <c r="I805" s="15"/>
    </row>
    <row r="806">
      <c r="E806" s="15"/>
      <c r="F806" s="17"/>
      <c r="G806" s="15"/>
      <c r="I806" s="15"/>
    </row>
    <row r="807">
      <c r="E807" s="15"/>
      <c r="F807" s="17"/>
      <c r="G807" s="15"/>
      <c r="I807" s="15"/>
    </row>
    <row r="808">
      <c r="E808" s="15"/>
      <c r="F808" s="17"/>
      <c r="G808" s="15"/>
      <c r="I808" s="15"/>
    </row>
    <row r="809">
      <c r="E809" s="15"/>
      <c r="F809" s="17"/>
      <c r="G809" s="15"/>
      <c r="I809" s="15"/>
    </row>
    <row r="810">
      <c r="E810" s="15"/>
      <c r="F810" s="17"/>
      <c r="G810" s="15"/>
      <c r="I810" s="15"/>
    </row>
    <row r="811">
      <c r="E811" s="15"/>
      <c r="F811" s="17"/>
      <c r="G811" s="15"/>
      <c r="I811" s="15"/>
    </row>
    <row r="812">
      <c r="E812" s="15"/>
      <c r="F812" s="17"/>
      <c r="G812" s="15"/>
      <c r="I812" s="15"/>
    </row>
    <row r="813">
      <c r="E813" s="15"/>
      <c r="F813" s="17"/>
      <c r="G813" s="15"/>
      <c r="I813" s="15"/>
    </row>
    <row r="814">
      <c r="E814" s="15"/>
      <c r="F814" s="17"/>
      <c r="G814" s="15"/>
      <c r="I814" s="15"/>
    </row>
    <row r="815">
      <c r="E815" s="15"/>
      <c r="F815" s="17"/>
      <c r="G815" s="15"/>
      <c r="I815" s="15"/>
    </row>
    <row r="816">
      <c r="E816" s="15"/>
      <c r="F816" s="17"/>
      <c r="G816" s="15"/>
      <c r="I816" s="15"/>
    </row>
    <row r="817">
      <c r="E817" s="15"/>
      <c r="F817" s="17"/>
      <c r="G817" s="15"/>
      <c r="I817" s="15"/>
    </row>
    <row r="818">
      <c r="E818" s="15"/>
      <c r="F818" s="17"/>
      <c r="G818" s="15"/>
      <c r="I818" s="15"/>
    </row>
    <row r="819">
      <c r="E819" s="15"/>
      <c r="F819" s="17"/>
      <c r="G819" s="15"/>
      <c r="I819" s="15"/>
    </row>
    <row r="820">
      <c r="E820" s="15"/>
      <c r="F820" s="17"/>
      <c r="G820" s="15"/>
      <c r="I820" s="15"/>
    </row>
    <row r="821">
      <c r="E821" s="15"/>
      <c r="F821" s="17"/>
      <c r="G821" s="15"/>
      <c r="I821" s="15"/>
    </row>
    <row r="822">
      <c r="E822" s="15"/>
      <c r="F822" s="17"/>
      <c r="G822" s="15"/>
      <c r="I822" s="15"/>
    </row>
    <row r="823">
      <c r="E823" s="15"/>
      <c r="F823" s="17"/>
      <c r="G823" s="15"/>
      <c r="I823" s="15"/>
    </row>
    <row r="824">
      <c r="E824" s="15"/>
      <c r="F824" s="17"/>
      <c r="G824" s="15"/>
      <c r="I824" s="15"/>
    </row>
    <row r="825">
      <c r="E825" s="15"/>
      <c r="F825" s="17"/>
      <c r="G825" s="15"/>
      <c r="I825" s="15"/>
    </row>
    <row r="826">
      <c r="E826" s="15"/>
      <c r="F826" s="17"/>
      <c r="G826" s="15"/>
      <c r="I826" s="15"/>
    </row>
    <row r="827">
      <c r="E827" s="15"/>
      <c r="F827" s="17"/>
      <c r="G827" s="15"/>
      <c r="I827" s="15"/>
    </row>
    <row r="828">
      <c r="E828" s="15"/>
      <c r="F828" s="17"/>
      <c r="G828" s="15"/>
      <c r="I828" s="15"/>
    </row>
    <row r="829">
      <c r="E829" s="15"/>
      <c r="F829" s="17"/>
      <c r="G829" s="15"/>
      <c r="I829" s="15"/>
    </row>
    <row r="830">
      <c r="E830" s="15"/>
      <c r="F830" s="17"/>
      <c r="G830" s="15"/>
      <c r="I830" s="15"/>
    </row>
    <row r="831">
      <c r="E831" s="15"/>
      <c r="F831" s="17"/>
      <c r="G831" s="15"/>
      <c r="I831" s="15"/>
    </row>
    <row r="832">
      <c r="E832" s="15"/>
      <c r="F832" s="17"/>
      <c r="G832" s="15"/>
      <c r="I832" s="15"/>
    </row>
    <row r="833">
      <c r="E833" s="15"/>
      <c r="F833" s="17"/>
      <c r="G833" s="15"/>
      <c r="I833" s="15"/>
    </row>
    <row r="834">
      <c r="E834" s="15"/>
      <c r="F834" s="17"/>
      <c r="G834" s="15"/>
      <c r="I834" s="15"/>
    </row>
    <row r="835">
      <c r="E835" s="15"/>
      <c r="F835" s="17"/>
      <c r="G835" s="15"/>
      <c r="I835" s="15"/>
    </row>
    <row r="836">
      <c r="E836" s="15"/>
      <c r="F836" s="17"/>
      <c r="G836" s="15"/>
      <c r="I836" s="15"/>
    </row>
    <row r="837">
      <c r="E837" s="15"/>
      <c r="F837" s="17"/>
      <c r="G837" s="15"/>
      <c r="I837" s="15"/>
    </row>
    <row r="838">
      <c r="E838" s="15"/>
      <c r="F838" s="17"/>
      <c r="G838" s="15"/>
      <c r="I838" s="15"/>
    </row>
    <row r="839">
      <c r="E839" s="15"/>
      <c r="F839" s="17"/>
      <c r="G839" s="15"/>
      <c r="I839" s="15"/>
    </row>
    <row r="840">
      <c r="E840" s="15"/>
      <c r="F840" s="17"/>
      <c r="G840" s="15"/>
      <c r="I840" s="15"/>
    </row>
    <row r="841">
      <c r="E841" s="15"/>
      <c r="F841" s="17"/>
      <c r="G841" s="15"/>
      <c r="I841" s="15"/>
    </row>
    <row r="842">
      <c r="E842" s="15"/>
      <c r="F842" s="17"/>
      <c r="G842" s="15"/>
      <c r="I842" s="15"/>
    </row>
    <row r="843">
      <c r="E843" s="15"/>
      <c r="F843" s="17"/>
      <c r="G843" s="15"/>
      <c r="I843" s="15"/>
    </row>
    <row r="844">
      <c r="E844" s="15"/>
      <c r="F844" s="17"/>
      <c r="G844" s="15"/>
      <c r="I844" s="15"/>
    </row>
    <row r="845">
      <c r="E845" s="15"/>
      <c r="F845" s="17"/>
      <c r="G845" s="15"/>
      <c r="I845" s="15"/>
    </row>
    <row r="846">
      <c r="E846" s="15"/>
      <c r="F846" s="17"/>
      <c r="G846" s="15"/>
      <c r="I846" s="15"/>
    </row>
    <row r="847">
      <c r="E847" s="15"/>
      <c r="F847" s="17"/>
      <c r="G847" s="15"/>
      <c r="I847" s="15"/>
    </row>
    <row r="848">
      <c r="E848" s="15"/>
      <c r="F848" s="17"/>
      <c r="G848" s="15"/>
      <c r="I848" s="15"/>
    </row>
    <row r="849">
      <c r="E849" s="15"/>
      <c r="F849" s="17"/>
      <c r="G849" s="15"/>
      <c r="I849" s="15"/>
    </row>
    <row r="850">
      <c r="E850" s="15"/>
      <c r="F850" s="17"/>
      <c r="G850" s="15"/>
      <c r="I850" s="15"/>
    </row>
    <row r="851">
      <c r="E851" s="15"/>
      <c r="F851" s="17"/>
      <c r="G851" s="15"/>
      <c r="I851" s="15"/>
    </row>
    <row r="852">
      <c r="E852" s="15"/>
      <c r="F852" s="17"/>
      <c r="G852" s="15"/>
      <c r="I852" s="15"/>
    </row>
    <row r="853">
      <c r="E853" s="15"/>
      <c r="F853" s="17"/>
      <c r="G853" s="15"/>
      <c r="I853" s="15"/>
    </row>
    <row r="854">
      <c r="E854" s="15"/>
      <c r="F854" s="17"/>
      <c r="G854" s="15"/>
      <c r="I854" s="15"/>
    </row>
    <row r="855">
      <c r="E855" s="15"/>
      <c r="F855" s="17"/>
      <c r="G855" s="15"/>
      <c r="I855" s="15"/>
    </row>
    <row r="856">
      <c r="E856" s="15"/>
      <c r="F856" s="17"/>
      <c r="G856" s="15"/>
      <c r="I856" s="15"/>
    </row>
    <row r="857">
      <c r="E857" s="15"/>
      <c r="F857" s="17"/>
      <c r="G857" s="15"/>
      <c r="I857" s="15"/>
    </row>
    <row r="858">
      <c r="E858" s="15"/>
      <c r="F858" s="17"/>
      <c r="G858" s="15"/>
      <c r="I858" s="15"/>
    </row>
    <row r="859">
      <c r="E859" s="15"/>
      <c r="F859" s="17"/>
      <c r="G859" s="15"/>
      <c r="I859" s="15"/>
    </row>
    <row r="860">
      <c r="E860" s="15"/>
      <c r="F860" s="17"/>
      <c r="G860" s="15"/>
      <c r="I860" s="15"/>
    </row>
    <row r="861">
      <c r="E861" s="15"/>
      <c r="F861" s="17"/>
      <c r="G861" s="15"/>
      <c r="I861" s="15"/>
    </row>
    <row r="862">
      <c r="E862" s="15"/>
      <c r="F862" s="17"/>
      <c r="G862" s="15"/>
      <c r="I862" s="15"/>
    </row>
    <row r="863">
      <c r="E863" s="15"/>
      <c r="F863" s="17"/>
      <c r="G863" s="15"/>
      <c r="I863" s="15"/>
    </row>
    <row r="864">
      <c r="E864" s="15"/>
      <c r="F864" s="17"/>
      <c r="G864" s="15"/>
      <c r="I864" s="15"/>
    </row>
    <row r="865">
      <c r="E865" s="15"/>
      <c r="F865" s="17"/>
      <c r="G865" s="15"/>
      <c r="I865" s="15"/>
    </row>
    <row r="866">
      <c r="E866" s="15"/>
      <c r="F866" s="17"/>
      <c r="G866" s="15"/>
      <c r="I866" s="15"/>
    </row>
    <row r="867">
      <c r="E867" s="15"/>
      <c r="F867" s="17"/>
      <c r="G867" s="15"/>
      <c r="I867" s="15"/>
    </row>
    <row r="868">
      <c r="E868" s="15"/>
      <c r="F868" s="17"/>
      <c r="G868" s="15"/>
      <c r="I868" s="15"/>
    </row>
    <row r="869">
      <c r="E869" s="15"/>
      <c r="F869" s="17"/>
      <c r="G869" s="15"/>
      <c r="I869" s="15"/>
    </row>
    <row r="870">
      <c r="E870" s="15"/>
      <c r="F870" s="17"/>
      <c r="G870" s="15"/>
      <c r="I870" s="15"/>
    </row>
    <row r="871">
      <c r="E871" s="15"/>
      <c r="F871" s="17"/>
      <c r="G871" s="15"/>
      <c r="I871" s="15"/>
    </row>
    <row r="872">
      <c r="E872" s="15"/>
      <c r="F872" s="17"/>
      <c r="G872" s="15"/>
      <c r="I872" s="15"/>
    </row>
    <row r="873">
      <c r="E873" s="15"/>
      <c r="F873" s="17"/>
      <c r="G873" s="15"/>
      <c r="I873" s="15"/>
    </row>
    <row r="874">
      <c r="E874" s="15"/>
      <c r="F874" s="17"/>
      <c r="G874" s="15"/>
      <c r="I874" s="15"/>
    </row>
    <row r="875">
      <c r="E875" s="15"/>
      <c r="F875" s="17"/>
      <c r="G875" s="15"/>
      <c r="I875" s="15"/>
    </row>
    <row r="876">
      <c r="E876" s="15"/>
      <c r="F876" s="17"/>
      <c r="G876" s="15"/>
      <c r="I876" s="15"/>
    </row>
    <row r="877">
      <c r="E877" s="15"/>
      <c r="F877" s="17"/>
      <c r="G877" s="15"/>
      <c r="I877" s="15"/>
    </row>
    <row r="878">
      <c r="E878" s="15"/>
      <c r="F878" s="17"/>
      <c r="G878" s="15"/>
      <c r="I878" s="15"/>
    </row>
    <row r="879">
      <c r="E879" s="15"/>
      <c r="F879" s="17"/>
      <c r="G879" s="15"/>
      <c r="I879" s="15"/>
    </row>
    <row r="880">
      <c r="E880" s="15"/>
      <c r="F880" s="17"/>
      <c r="G880" s="15"/>
      <c r="I880" s="15"/>
    </row>
    <row r="881">
      <c r="E881" s="15"/>
      <c r="F881" s="17"/>
      <c r="G881" s="15"/>
      <c r="I881" s="15"/>
    </row>
    <row r="882">
      <c r="E882" s="15"/>
      <c r="F882" s="17"/>
      <c r="G882" s="15"/>
      <c r="I882" s="15"/>
    </row>
    <row r="883">
      <c r="E883" s="15"/>
      <c r="F883" s="17"/>
      <c r="G883" s="15"/>
      <c r="I883" s="15"/>
    </row>
    <row r="884">
      <c r="E884" s="15"/>
      <c r="F884" s="17"/>
      <c r="G884" s="15"/>
      <c r="I884" s="15"/>
    </row>
    <row r="885">
      <c r="E885" s="15"/>
      <c r="F885" s="17"/>
      <c r="G885" s="15"/>
      <c r="I885" s="15"/>
    </row>
    <row r="886">
      <c r="E886" s="15"/>
      <c r="F886" s="17"/>
      <c r="G886" s="15"/>
      <c r="I886" s="15"/>
    </row>
    <row r="887">
      <c r="E887" s="15"/>
      <c r="F887" s="17"/>
      <c r="G887" s="15"/>
      <c r="I887" s="15"/>
    </row>
    <row r="888">
      <c r="E888" s="15"/>
      <c r="F888" s="17"/>
      <c r="G888" s="15"/>
      <c r="I888" s="15"/>
    </row>
    <row r="889">
      <c r="E889" s="15"/>
      <c r="F889" s="17"/>
      <c r="G889" s="15"/>
      <c r="I889" s="15"/>
    </row>
    <row r="890">
      <c r="E890" s="15"/>
      <c r="F890" s="17"/>
      <c r="G890" s="15"/>
      <c r="I890" s="15"/>
    </row>
    <row r="891">
      <c r="E891" s="15"/>
      <c r="F891" s="17"/>
      <c r="G891" s="15"/>
      <c r="I891" s="15"/>
    </row>
    <row r="892">
      <c r="E892" s="15"/>
      <c r="F892" s="17"/>
      <c r="G892" s="15"/>
      <c r="I892" s="15"/>
    </row>
    <row r="893">
      <c r="E893" s="15"/>
      <c r="F893" s="17"/>
      <c r="G893" s="15"/>
      <c r="I893" s="15"/>
    </row>
    <row r="894">
      <c r="E894" s="15"/>
      <c r="F894" s="17"/>
      <c r="G894" s="15"/>
      <c r="I894" s="15"/>
    </row>
    <row r="895">
      <c r="E895" s="15"/>
      <c r="F895" s="17"/>
      <c r="G895" s="15"/>
      <c r="I895" s="15"/>
    </row>
    <row r="896">
      <c r="E896" s="15"/>
      <c r="F896" s="17"/>
      <c r="G896" s="15"/>
      <c r="I896" s="15"/>
    </row>
    <row r="897">
      <c r="E897" s="15"/>
      <c r="F897" s="17"/>
      <c r="G897" s="15"/>
      <c r="I897" s="15"/>
    </row>
    <row r="898">
      <c r="E898" s="15"/>
      <c r="F898" s="17"/>
      <c r="G898" s="15"/>
      <c r="I898" s="15"/>
    </row>
    <row r="899">
      <c r="E899" s="15"/>
      <c r="F899" s="17"/>
      <c r="G899" s="15"/>
      <c r="I899" s="15"/>
    </row>
    <row r="900">
      <c r="E900" s="15"/>
      <c r="F900" s="17"/>
      <c r="G900" s="15"/>
      <c r="I900" s="15"/>
    </row>
    <row r="901">
      <c r="E901" s="15"/>
      <c r="F901" s="17"/>
      <c r="G901" s="15"/>
      <c r="I901" s="15"/>
    </row>
    <row r="902">
      <c r="E902" s="15"/>
      <c r="F902" s="17"/>
      <c r="G902" s="15"/>
      <c r="I902" s="15"/>
    </row>
    <row r="903">
      <c r="E903" s="15"/>
      <c r="F903" s="17"/>
      <c r="G903" s="15"/>
      <c r="I903" s="15"/>
    </row>
    <row r="904">
      <c r="E904" s="15"/>
      <c r="F904" s="17"/>
      <c r="G904" s="15"/>
      <c r="I904" s="15"/>
    </row>
    <row r="905">
      <c r="E905" s="15"/>
      <c r="F905" s="17"/>
      <c r="G905" s="15"/>
      <c r="I905" s="15"/>
    </row>
    <row r="906">
      <c r="E906" s="15"/>
      <c r="F906" s="17"/>
      <c r="G906" s="15"/>
      <c r="I906" s="15"/>
    </row>
    <row r="907">
      <c r="E907" s="15"/>
      <c r="F907" s="17"/>
      <c r="G907" s="15"/>
      <c r="I907" s="15"/>
    </row>
    <row r="908">
      <c r="E908" s="15"/>
      <c r="F908" s="17"/>
      <c r="G908" s="15"/>
      <c r="I908" s="15"/>
    </row>
    <row r="909">
      <c r="E909" s="15"/>
      <c r="F909" s="17"/>
      <c r="G909" s="15"/>
      <c r="I909" s="15"/>
    </row>
    <row r="910">
      <c r="E910" s="15"/>
      <c r="F910" s="17"/>
      <c r="G910" s="15"/>
      <c r="I910" s="15"/>
    </row>
    <row r="911">
      <c r="E911" s="15"/>
      <c r="F911" s="17"/>
      <c r="G911" s="15"/>
      <c r="I911" s="15"/>
    </row>
    <row r="912">
      <c r="E912" s="15"/>
      <c r="F912" s="17"/>
      <c r="G912" s="15"/>
      <c r="I912" s="15"/>
    </row>
    <row r="913">
      <c r="E913" s="15"/>
      <c r="F913" s="17"/>
      <c r="G913" s="15"/>
      <c r="I913" s="15"/>
    </row>
    <row r="914">
      <c r="E914" s="15"/>
      <c r="F914" s="17"/>
      <c r="G914" s="15"/>
      <c r="I914" s="15"/>
    </row>
    <row r="915">
      <c r="E915" s="15"/>
      <c r="F915" s="17"/>
      <c r="G915" s="15"/>
      <c r="I915" s="15"/>
    </row>
    <row r="916">
      <c r="E916" s="15"/>
      <c r="F916" s="17"/>
      <c r="G916" s="15"/>
      <c r="I916" s="15"/>
    </row>
    <row r="917">
      <c r="E917" s="15"/>
      <c r="F917" s="17"/>
      <c r="G917" s="15"/>
      <c r="I917" s="15"/>
    </row>
    <row r="918">
      <c r="E918" s="15"/>
      <c r="F918" s="17"/>
      <c r="G918" s="15"/>
      <c r="I918" s="15"/>
    </row>
    <row r="919">
      <c r="E919" s="15"/>
      <c r="F919" s="17"/>
      <c r="G919" s="15"/>
      <c r="I919" s="15"/>
    </row>
    <row r="920">
      <c r="E920" s="15"/>
      <c r="F920" s="17"/>
      <c r="G920" s="15"/>
      <c r="I920" s="15"/>
    </row>
    <row r="921">
      <c r="E921" s="15"/>
      <c r="F921" s="17"/>
      <c r="G921" s="15"/>
      <c r="I921" s="15"/>
    </row>
    <row r="922">
      <c r="E922" s="15"/>
      <c r="F922" s="17"/>
      <c r="G922" s="15"/>
      <c r="I922" s="15"/>
    </row>
    <row r="923">
      <c r="E923" s="15"/>
      <c r="F923" s="17"/>
      <c r="G923" s="15"/>
      <c r="I923" s="15"/>
    </row>
    <row r="924">
      <c r="E924" s="15"/>
      <c r="F924" s="17"/>
      <c r="G924" s="15"/>
      <c r="I924" s="15"/>
    </row>
    <row r="925">
      <c r="E925" s="15"/>
      <c r="F925" s="17"/>
      <c r="G925" s="15"/>
      <c r="I925" s="15"/>
    </row>
    <row r="926">
      <c r="E926" s="15"/>
      <c r="F926" s="17"/>
      <c r="G926" s="15"/>
      <c r="I926" s="15"/>
    </row>
    <row r="927">
      <c r="E927" s="15"/>
      <c r="F927" s="17"/>
      <c r="G927" s="15"/>
      <c r="I927" s="15"/>
    </row>
    <row r="928">
      <c r="E928" s="15"/>
      <c r="F928" s="17"/>
      <c r="G928" s="15"/>
      <c r="I928" s="15"/>
    </row>
    <row r="929">
      <c r="E929" s="15"/>
      <c r="F929" s="17"/>
      <c r="G929" s="15"/>
      <c r="I929" s="15"/>
    </row>
    <row r="930">
      <c r="E930" s="15"/>
      <c r="F930" s="17"/>
      <c r="G930" s="15"/>
      <c r="I930" s="15"/>
    </row>
    <row r="931">
      <c r="E931" s="15"/>
      <c r="F931" s="17"/>
      <c r="G931" s="15"/>
      <c r="I931" s="15"/>
    </row>
    <row r="932">
      <c r="E932" s="15"/>
      <c r="F932" s="17"/>
      <c r="G932" s="15"/>
      <c r="I932" s="15"/>
    </row>
    <row r="933">
      <c r="E933" s="15"/>
      <c r="F933" s="17"/>
      <c r="G933" s="15"/>
      <c r="I933" s="15"/>
    </row>
    <row r="934">
      <c r="E934" s="15"/>
      <c r="F934" s="17"/>
      <c r="G934" s="15"/>
      <c r="I934" s="15"/>
    </row>
    <row r="935">
      <c r="E935" s="15"/>
      <c r="F935" s="17"/>
      <c r="G935" s="15"/>
      <c r="I935" s="15"/>
    </row>
    <row r="936">
      <c r="E936" s="15"/>
      <c r="F936" s="17"/>
      <c r="G936" s="15"/>
      <c r="I936" s="15"/>
    </row>
    <row r="937">
      <c r="E937" s="15"/>
      <c r="F937" s="17"/>
      <c r="G937" s="15"/>
      <c r="I937" s="15"/>
    </row>
    <row r="938">
      <c r="E938" s="15"/>
      <c r="F938" s="17"/>
      <c r="G938" s="15"/>
      <c r="I938" s="15"/>
    </row>
    <row r="939">
      <c r="E939" s="15"/>
      <c r="F939" s="17"/>
      <c r="G939" s="15"/>
      <c r="I939" s="15"/>
    </row>
    <row r="940">
      <c r="E940" s="15"/>
      <c r="F940" s="17"/>
      <c r="G940" s="15"/>
      <c r="I940" s="15"/>
    </row>
    <row r="941">
      <c r="E941" s="15"/>
      <c r="F941" s="17"/>
      <c r="G941" s="15"/>
      <c r="I941" s="15"/>
    </row>
    <row r="942">
      <c r="E942" s="15"/>
      <c r="F942" s="17"/>
      <c r="G942" s="15"/>
      <c r="I942" s="15"/>
    </row>
    <row r="943">
      <c r="E943" s="15"/>
      <c r="F943" s="17"/>
      <c r="G943" s="15"/>
      <c r="I943" s="15"/>
    </row>
    <row r="944">
      <c r="E944" s="15"/>
      <c r="F944" s="17"/>
      <c r="G944" s="15"/>
      <c r="I944" s="15"/>
    </row>
    <row r="945">
      <c r="E945" s="15"/>
      <c r="F945" s="17"/>
      <c r="G945" s="15"/>
      <c r="I945" s="15"/>
    </row>
    <row r="946">
      <c r="E946" s="15"/>
      <c r="F946" s="17"/>
      <c r="G946" s="15"/>
      <c r="I946" s="15"/>
    </row>
    <row r="947">
      <c r="E947" s="15"/>
      <c r="F947" s="17"/>
      <c r="G947" s="15"/>
      <c r="I947" s="15"/>
    </row>
    <row r="948">
      <c r="E948" s="15"/>
      <c r="F948" s="17"/>
      <c r="G948" s="15"/>
      <c r="I948" s="15"/>
    </row>
    <row r="949">
      <c r="E949" s="15"/>
      <c r="F949" s="17"/>
      <c r="G949" s="15"/>
      <c r="I949" s="15"/>
    </row>
    <row r="950">
      <c r="E950" s="15"/>
      <c r="F950" s="17"/>
      <c r="G950" s="15"/>
      <c r="I950" s="15"/>
    </row>
    <row r="951">
      <c r="E951" s="15"/>
      <c r="F951" s="17"/>
      <c r="G951" s="15"/>
      <c r="I951" s="15"/>
    </row>
    <row r="952">
      <c r="E952" s="15"/>
      <c r="F952" s="17"/>
      <c r="G952" s="15"/>
      <c r="I952" s="15"/>
    </row>
    <row r="953">
      <c r="E953" s="15"/>
      <c r="F953" s="17"/>
      <c r="G953" s="15"/>
      <c r="I953" s="15"/>
    </row>
    <row r="954">
      <c r="E954" s="15"/>
      <c r="F954" s="17"/>
      <c r="G954" s="15"/>
      <c r="I954" s="15"/>
    </row>
    <row r="955">
      <c r="E955" s="15"/>
      <c r="F955" s="17"/>
      <c r="G955" s="15"/>
      <c r="I955" s="15"/>
    </row>
    <row r="956">
      <c r="E956" s="15"/>
      <c r="F956" s="17"/>
      <c r="G956" s="15"/>
      <c r="I956" s="15"/>
    </row>
    <row r="957">
      <c r="E957" s="15"/>
      <c r="F957" s="17"/>
      <c r="G957" s="15"/>
      <c r="I957" s="15"/>
    </row>
    <row r="958">
      <c r="E958" s="15"/>
      <c r="F958" s="17"/>
      <c r="G958" s="15"/>
      <c r="I958" s="15"/>
    </row>
    <row r="959">
      <c r="E959" s="15"/>
      <c r="F959" s="17"/>
      <c r="G959" s="15"/>
      <c r="I959" s="15"/>
    </row>
    <row r="960">
      <c r="E960" s="15"/>
      <c r="F960" s="17"/>
      <c r="G960" s="15"/>
      <c r="I960" s="15"/>
    </row>
    <row r="961">
      <c r="E961" s="15"/>
      <c r="F961" s="17"/>
      <c r="G961" s="15"/>
      <c r="I961" s="15"/>
    </row>
    <row r="962">
      <c r="E962" s="15"/>
      <c r="F962" s="17"/>
      <c r="G962" s="15"/>
      <c r="I962" s="15"/>
    </row>
    <row r="963">
      <c r="E963" s="15"/>
      <c r="F963" s="17"/>
      <c r="G963" s="15"/>
      <c r="I963" s="15"/>
    </row>
    <row r="964">
      <c r="E964" s="15"/>
      <c r="F964" s="17"/>
      <c r="G964" s="15"/>
      <c r="I964" s="15"/>
    </row>
    <row r="965">
      <c r="E965" s="15"/>
      <c r="F965" s="17"/>
      <c r="G965" s="15"/>
      <c r="I965" s="15"/>
    </row>
    <row r="966">
      <c r="E966" s="15"/>
      <c r="F966" s="17"/>
      <c r="G966" s="15"/>
      <c r="I966" s="15"/>
    </row>
    <row r="967">
      <c r="E967" s="15"/>
      <c r="F967" s="17"/>
      <c r="G967" s="15"/>
      <c r="I967" s="15"/>
    </row>
    <row r="968">
      <c r="E968" s="15"/>
      <c r="F968" s="17"/>
      <c r="G968" s="15"/>
      <c r="I968" s="15"/>
    </row>
    <row r="969">
      <c r="E969" s="15"/>
      <c r="F969" s="17"/>
      <c r="G969" s="15"/>
      <c r="I969" s="15"/>
    </row>
    <row r="970">
      <c r="E970" s="15"/>
      <c r="F970" s="17"/>
      <c r="G970" s="15"/>
      <c r="I970" s="15"/>
    </row>
    <row r="971">
      <c r="E971" s="15"/>
      <c r="F971" s="17"/>
      <c r="G971" s="15"/>
      <c r="I971" s="15"/>
    </row>
    <row r="972">
      <c r="E972" s="15"/>
      <c r="F972" s="17"/>
      <c r="G972" s="15"/>
      <c r="I972" s="15"/>
    </row>
    <row r="973">
      <c r="E973" s="15"/>
      <c r="F973" s="17"/>
      <c r="G973" s="15"/>
      <c r="I973" s="15"/>
    </row>
    <row r="974">
      <c r="E974" s="15"/>
      <c r="F974" s="17"/>
      <c r="G974" s="15"/>
      <c r="I974" s="15"/>
    </row>
    <row r="975">
      <c r="E975" s="15"/>
      <c r="F975" s="17"/>
      <c r="G975" s="15"/>
      <c r="I975" s="15"/>
    </row>
    <row r="976">
      <c r="E976" s="15"/>
      <c r="F976" s="17"/>
      <c r="G976" s="15"/>
      <c r="I976" s="15"/>
    </row>
    <row r="977">
      <c r="E977" s="15"/>
      <c r="F977" s="17"/>
      <c r="G977" s="15"/>
      <c r="I977" s="15"/>
    </row>
    <row r="978">
      <c r="E978" s="15"/>
      <c r="F978" s="17"/>
      <c r="G978" s="15"/>
      <c r="I978" s="15"/>
    </row>
    <row r="979">
      <c r="E979" s="15"/>
      <c r="F979" s="17"/>
      <c r="G979" s="15"/>
      <c r="I979" s="15"/>
    </row>
    <row r="980">
      <c r="E980" s="15"/>
      <c r="F980" s="17"/>
      <c r="G980" s="15"/>
      <c r="I980" s="15"/>
    </row>
    <row r="981">
      <c r="E981" s="15"/>
      <c r="F981" s="17"/>
      <c r="G981" s="15"/>
      <c r="I981" s="15"/>
    </row>
    <row r="982">
      <c r="E982" s="15"/>
      <c r="F982" s="17"/>
      <c r="G982" s="15"/>
      <c r="I982" s="15"/>
    </row>
    <row r="983">
      <c r="E983" s="15"/>
      <c r="F983" s="17"/>
      <c r="G983" s="15"/>
      <c r="I983" s="15"/>
    </row>
    <row r="984">
      <c r="E984" s="15"/>
      <c r="F984" s="17"/>
      <c r="G984" s="15"/>
      <c r="I984" s="15"/>
    </row>
    <row r="985">
      <c r="E985" s="15"/>
      <c r="F985" s="17"/>
      <c r="G985" s="15"/>
      <c r="I985" s="15"/>
    </row>
    <row r="986">
      <c r="E986" s="15"/>
      <c r="F986" s="17"/>
      <c r="G986" s="15"/>
      <c r="I986" s="15"/>
    </row>
    <row r="987">
      <c r="E987" s="15"/>
      <c r="F987" s="17"/>
      <c r="G987" s="15"/>
      <c r="I987" s="15"/>
    </row>
    <row r="988">
      <c r="E988" s="15"/>
      <c r="F988" s="17"/>
      <c r="G988" s="15"/>
      <c r="I988" s="15"/>
    </row>
    <row r="989">
      <c r="E989" s="15"/>
      <c r="F989" s="17"/>
      <c r="G989" s="15"/>
      <c r="I989" s="15"/>
    </row>
    <row r="990">
      <c r="E990" s="15"/>
      <c r="F990" s="17"/>
      <c r="G990" s="15"/>
      <c r="I990" s="15"/>
    </row>
    <row r="991">
      <c r="E991" s="15"/>
      <c r="F991" s="17"/>
      <c r="G991" s="15"/>
      <c r="I991" s="15"/>
    </row>
    <row r="992">
      <c r="E992" s="15"/>
      <c r="F992" s="17"/>
      <c r="G992" s="15"/>
      <c r="I992" s="15"/>
    </row>
    <row r="993">
      <c r="E993" s="15"/>
      <c r="F993" s="17"/>
      <c r="G993" s="15"/>
      <c r="I993" s="15"/>
    </row>
    <row r="994">
      <c r="E994" s="15"/>
      <c r="F994" s="17"/>
      <c r="G994" s="15"/>
      <c r="I994" s="15"/>
    </row>
    <row r="995">
      <c r="E995" s="15"/>
      <c r="F995" s="17"/>
      <c r="G995" s="15"/>
      <c r="I995" s="15"/>
    </row>
    <row r="996">
      <c r="E996" s="15"/>
      <c r="F996" s="17"/>
      <c r="G996" s="15"/>
      <c r="I996" s="15"/>
    </row>
    <row r="997">
      <c r="E997" s="15"/>
      <c r="F997" s="17"/>
      <c r="G997" s="15"/>
      <c r="I997" s="15"/>
    </row>
    <row r="998">
      <c r="E998" s="15"/>
      <c r="F998" s="17"/>
      <c r="G998" s="15"/>
      <c r="I998" s="15"/>
    </row>
    <row r="999">
      <c r="E999" s="15"/>
      <c r="F999" s="17"/>
      <c r="G999" s="15"/>
      <c r="I999" s="15"/>
    </row>
    <row r="1000">
      <c r="E1000" s="15"/>
      <c r="F1000" s="17"/>
      <c r="G1000" s="15"/>
      <c r="I1000" s="15"/>
    </row>
  </sheetData>
  <conditionalFormatting sqref="A2:J1000">
    <cfRule type="expression" dxfId="0" priority="1" stopIfTrue="1">
      <formula>$H2=TRUE</formula>
    </cfRule>
  </conditionalFormatting>
  <dataValidations>
    <dataValidation type="list" allowBlank="1" sqref="G2:G1000">
      <formula1>"TOP,SEMITOP,TERZO-SLOT,QUARTO-SLOT,SCOMMESSE,TITOLARI,ALTRI"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2.63"/>
    <col customWidth="1" min="3" max="3" width="16.38"/>
    <col customWidth="1" min="4" max="4" width="15.13"/>
    <col customWidth="1" min="5" max="5" width="3.88"/>
    <col customWidth="1" min="6" max="6" width="13.5"/>
    <col customWidth="1" min="7" max="9" width="10.75"/>
  </cols>
  <sheetData>
    <row r="1" ht="28.5" customHeight="1">
      <c r="A1" s="30" t="s">
        <v>411</v>
      </c>
    </row>
    <row r="2" ht="10.5" customHeight="1"/>
    <row r="3" ht="18.0" customHeight="1">
      <c r="A3" s="32" t="s">
        <v>414</v>
      </c>
      <c r="B3" s="32" t="s">
        <v>416</v>
      </c>
      <c r="C3" s="32" t="s">
        <v>417</v>
      </c>
      <c r="D3" s="32" t="s">
        <v>418</v>
      </c>
      <c r="F3" s="34" t="s">
        <v>419</v>
      </c>
      <c r="G3" s="34" t="s">
        <v>421</v>
      </c>
      <c r="H3" s="34" t="s">
        <v>422</v>
      </c>
      <c r="I3" s="34" t="s">
        <v>423</v>
      </c>
      <c r="J3" s="34" t="s">
        <v>424</v>
      </c>
      <c r="K3" s="21" t="s">
        <v>425</v>
      </c>
    </row>
    <row r="4" ht="24.0" customHeight="1">
      <c r="A4" s="35">
        <f>LISTONE!$L$2</f>
        <v>600</v>
      </c>
      <c r="B4" s="36">
        <f>SUM(D12:D36)</f>
        <v>587</v>
      </c>
      <c r="C4" s="37">
        <f>A4-B4</f>
        <v>13</v>
      </c>
      <c r="D4" s="38">
        <f>I8</f>
        <v>0</v>
      </c>
      <c r="F4" s="39" t="s">
        <v>14</v>
      </c>
      <c r="G4" s="40">
        <v>3.0</v>
      </c>
      <c r="H4" s="25">
        <f>COUNTIF(A$12:A$36, "P")</f>
        <v>3</v>
      </c>
      <c r="I4" s="41">
        <f t="shared" ref="I4:I7" si="1">G4-H4</f>
        <v>0</v>
      </c>
      <c r="J4" s="21">
        <v>12.0</v>
      </c>
      <c r="K4" s="42">
        <f>SUM(D12:D14)</f>
        <v>15</v>
      </c>
    </row>
    <row r="5" ht="13.5" customHeight="1">
      <c r="A5" s="43" t="s">
        <v>436</v>
      </c>
      <c r="B5" s="43" t="s">
        <v>438</v>
      </c>
      <c r="C5" s="43" t="s">
        <v>439</v>
      </c>
      <c r="D5" s="43" t="s">
        <v>440</v>
      </c>
      <c r="F5" s="44" t="s">
        <v>103</v>
      </c>
      <c r="G5" s="40">
        <v>8.0</v>
      </c>
      <c r="H5" s="25">
        <f>COUNTIF(A$12:A$36, "D")</f>
        <v>8</v>
      </c>
      <c r="I5" s="41">
        <f t="shared" si="1"/>
        <v>0</v>
      </c>
      <c r="J5" s="21">
        <v>100.0</v>
      </c>
      <c r="K5" s="42">
        <f>SUM(D15:D22)</f>
        <v>100</v>
      </c>
    </row>
    <row r="6">
      <c r="F6" s="45" t="s">
        <v>296</v>
      </c>
      <c r="G6" s="40">
        <v>8.0</v>
      </c>
      <c r="H6" s="25">
        <f>COUNTIF(A$12:A$36, "C")</f>
        <v>8</v>
      </c>
      <c r="I6" s="41">
        <f t="shared" si="1"/>
        <v>0</v>
      </c>
      <c r="J6" s="21">
        <v>200.0</v>
      </c>
      <c r="K6" s="42">
        <f>SUM(D23:D30)</f>
        <v>217</v>
      </c>
    </row>
    <row r="7">
      <c r="F7" s="46" t="s">
        <v>446</v>
      </c>
      <c r="G7" s="40">
        <v>6.0</v>
      </c>
      <c r="H7" s="25">
        <f>COUNTIF(A$12:A$36, "A")</f>
        <v>6</v>
      </c>
      <c r="I7" s="41">
        <f t="shared" si="1"/>
        <v>0</v>
      </c>
      <c r="J7" s="21">
        <v>288.0</v>
      </c>
      <c r="K7" s="42">
        <f>SUM(D31:D36)</f>
        <v>255</v>
      </c>
    </row>
    <row r="8">
      <c r="F8" s="47" t="s">
        <v>449</v>
      </c>
      <c r="G8" s="48">
        <f t="shared" ref="G8:J8" si="2">SUM(G4:G7)</f>
        <v>25</v>
      </c>
      <c r="H8" s="48">
        <f t="shared" si="2"/>
        <v>25</v>
      </c>
      <c r="I8" s="48">
        <f t="shared" si="2"/>
        <v>0</v>
      </c>
      <c r="J8" s="11">
        <f t="shared" si="2"/>
        <v>600</v>
      </c>
      <c r="K8" s="42">
        <f>A4-SUM(K4:K7)</f>
        <v>13</v>
      </c>
    </row>
    <row r="10" ht="19.5" customHeight="1">
      <c r="A10" s="49" t="s">
        <v>454</v>
      </c>
    </row>
    <row r="11" ht="19.5" customHeight="1">
      <c r="A11" s="50" t="s">
        <v>419</v>
      </c>
      <c r="B11" s="51" t="s">
        <v>456</v>
      </c>
      <c r="C11" s="51" t="s">
        <v>5</v>
      </c>
      <c r="D11" s="51" t="s">
        <v>458</v>
      </c>
    </row>
    <row r="12">
      <c r="A12" s="52" t="s">
        <v>14</v>
      </c>
      <c r="B12" s="53" t="s">
        <v>461</v>
      </c>
      <c r="C12" s="53" t="s">
        <v>462</v>
      </c>
      <c r="D12" s="54">
        <v>5.0</v>
      </c>
    </row>
    <row r="13">
      <c r="A13" s="52" t="s">
        <v>14</v>
      </c>
      <c r="B13" s="53" t="s">
        <v>464</v>
      </c>
      <c r="C13" s="53" t="s">
        <v>465</v>
      </c>
      <c r="D13" s="54">
        <v>5.0</v>
      </c>
      <c r="F13" s="21" t="s">
        <v>466</v>
      </c>
    </row>
    <row r="14">
      <c r="A14" s="52" t="s">
        <v>14</v>
      </c>
      <c r="B14" s="53" t="s">
        <v>467</v>
      </c>
      <c r="C14" s="53" t="s">
        <v>469</v>
      </c>
      <c r="D14" s="54">
        <v>5.0</v>
      </c>
    </row>
    <row r="15">
      <c r="A15" s="52" t="s">
        <v>103</v>
      </c>
      <c r="B15" s="53" t="s">
        <v>470</v>
      </c>
      <c r="C15" s="53" t="s">
        <v>471</v>
      </c>
      <c r="D15" s="54">
        <v>18.0</v>
      </c>
    </row>
    <row r="16">
      <c r="A16" s="52" t="s">
        <v>103</v>
      </c>
      <c r="B16" s="53" t="s">
        <v>473</v>
      </c>
      <c r="C16" s="53" t="s">
        <v>474</v>
      </c>
      <c r="D16" s="54">
        <v>7.0</v>
      </c>
    </row>
    <row r="17">
      <c r="A17" s="52" t="s">
        <v>103</v>
      </c>
      <c r="B17" s="53" t="s">
        <v>475</v>
      </c>
      <c r="C17" s="53" t="s">
        <v>477</v>
      </c>
      <c r="D17" s="54">
        <v>18.0</v>
      </c>
    </row>
    <row r="18">
      <c r="A18" s="52" t="s">
        <v>103</v>
      </c>
      <c r="B18" s="53" t="s">
        <v>478</v>
      </c>
      <c r="C18" s="53" t="s">
        <v>477</v>
      </c>
      <c r="D18" s="54">
        <v>18.0</v>
      </c>
    </row>
    <row r="19">
      <c r="A19" s="52" t="s">
        <v>103</v>
      </c>
      <c r="B19" s="53" t="s">
        <v>480</v>
      </c>
      <c r="C19" s="53" t="s">
        <v>481</v>
      </c>
      <c r="D19" s="54">
        <v>10.0</v>
      </c>
    </row>
    <row r="20">
      <c r="A20" s="52" t="s">
        <v>103</v>
      </c>
      <c r="B20" s="53" t="s">
        <v>482</v>
      </c>
      <c r="C20" s="53" t="s">
        <v>465</v>
      </c>
      <c r="D20" s="54">
        <v>24.0</v>
      </c>
    </row>
    <row r="21">
      <c r="A21" s="52" t="s">
        <v>103</v>
      </c>
      <c r="B21" s="53" t="s">
        <v>484</v>
      </c>
      <c r="C21" s="53" t="s">
        <v>485</v>
      </c>
      <c r="D21" s="54">
        <v>4.0</v>
      </c>
    </row>
    <row r="22">
      <c r="A22" s="52" t="s">
        <v>103</v>
      </c>
      <c r="B22" s="53" t="s">
        <v>487</v>
      </c>
      <c r="C22" s="53" t="s">
        <v>469</v>
      </c>
      <c r="D22" s="54">
        <v>1.0</v>
      </c>
    </row>
    <row r="23">
      <c r="A23" s="52" t="s">
        <v>296</v>
      </c>
      <c r="B23" s="53" t="s">
        <v>488</v>
      </c>
      <c r="C23" s="53" t="s">
        <v>474</v>
      </c>
      <c r="D23" s="54">
        <v>110.0</v>
      </c>
    </row>
    <row r="24">
      <c r="A24" s="52" t="s">
        <v>296</v>
      </c>
      <c r="B24" s="53" t="s">
        <v>490</v>
      </c>
      <c r="C24" s="53" t="s">
        <v>477</v>
      </c>
      <c r="D24" s="54">
        <v>70.0</v>
      </c>
    </row>
    <row r="25">
      <c r="A25" s="52" t="s">
        <v>296</v>
      </c>
      <c r="B25" s="53" t="s">
        <v>492</v>
      </c>
      <c r="C25" s="53" t="s">
        <v>462</v>
      </c>
      <c r="D25" s="54">
        <v>4.0</v>
      </c>
    </row>
    <row r="26">
      <c r="A26" s="52" t="s">
        <v>296</v>
      </c>
      <c r="B26" s="53" t="s">
        <v>493</v>
      </c>
      <c r="C26" s="53" t="s">
        <v>494</v>
      </c>
      <c r="D26" s="54">
        <v>1.0</v>
      </c>
    </row>
    <row r="27">
      <c r="A27" s="52" t="s">
        <v>296</v>
      </c>
      <c r="B27" s="53" t="s">
        <v>496</v>
      </c>
      <c r="C27" s="53" t="s">
        <v>497</v>
      </c>
      <c r="D27" s="54">
        <v>21.0</v>
      </c>
    </row>
    <row r="28">
      <c r="A28" s="52" t="s">
        <v>296</v>
      </c>
      <c r="B28" s="53" t="s">
        <v>498</v>
      </c>
      <c r="C28" s="53" t="s">
        <v>499</v>
      </c>
      <c r="D28" s="54">
        <v>1.0</v>
      </c>
    </row>
    <row r="29">
      <c r="A29" s="52" t="s">
        <v>296</v>
      </c>
      <c r="B29" s="53" t="s">
        <v>501</v>
      </c>
      <c r="C29" s="53" t="s">
        <v>499</v>
      </c>
      <c r="D29" s="54">
        <v>1.0</v>
      </c>
    </row>
    <row r="30">
      <c r="A30" s="52" t="s">
        <v>296</v>
      </c>
      <c r="B30" s="53" t="s">
        <v>502</v>
      </c>
      <c r="C30" s="53" t="s">
        <v>497</v>
      </c>
      <c r="D30" s="54">
        <v>9.0</v>
      </c>
    </row>
    <row r="31">
      <c r="A31" s="52" t="s">
        <v>446</v>
      </c>
      <c r="B31" s="53" t="s">
        <v>504</v>
      </c>
      <c r="C31" s="53" t="s">
        <v>497</v>
      </c>
      <c r="D31" s="54">
        <v>130.0</v>
      </c>
    </row>
    <row r="32">
      <c r="A32" s="52" t="s">
        <v>446</v>
      </c>
      <c r="B32" s="53" t="s">
        <v>505</v>
      </c>
      <c r="C32" s="53" t="s">
        <v>477</v>
      </c>
      <c r="D32" s="54">
        <v>55.0</v>
      </c>
    </row>
    <row r="33">
      <c r="A33" s="52" t="s">
        <v>446</v>
      </c>
      <c r="B33" s="53" t="s">
        <v>507</v>
      </c>
      <c r="C33" s="53" t="s">
        <v>497</v>
      </c>
      <c r="D33" s="54">
        <v>15.0</v>
      </c>
    </row>
    <row r="34">
      <c r="A34" s="52" t="s">
        <v>446</v>
      </c>
      <c r="B34" s="53" t="s">
        <v>508</v>
      </c>
      <c r="C34" s="53" t="s">
        <v>509</v>
      </c>
      <c r="D34" s="54">
        <v>1.0</v>
      </c>
    </row>
    <row r="35">
      <c r="A35" s="52" t="s">
        <v>446</v>
      </c>
      <c r="B35" s="53" t="s">
        <v>511</v>
      </c>
      <c r="C35" s="53" t="s">
        <v>477</v>
      </c>
      <c r="D35" s="54">
        <v>27.0</v>
      </c>
    </row>
    <row r="36">
      <c r="A36" s="52" t="s">
        <v>446</v>
      </c>
      <c r="B36" s="53" t="s">
        <v>512</v>
      </c>
      <c r="C36" s="53" t="s">
        <v>465</v>
      </c>
      <c r="D36" s="54">
        <v>27.0</v>
      </c>
      <c r="F36" s="21" t="s">
        <v>513</v>
      </c>
    </row>
    <row r="37">
      <c r="A37" s="55" t="s">
        <v>416</v>
      </c>
      <c r="B37" s="56"/>
      <c r="C37" s="56"/>
      <c r="D37" s="57">
        <f>SUM(D12:D36)</f>
        <v>587</v>
      </c>
    </row>
  </sheetData>
  <mergeCells count="3">
    <mergeCell ref="A1:I1"/>
    <mergeCell ref="A10:D10"/>
    <mergeCell ref="A37:C37"/>
  </mergeCells>
  <dataValidations>
    <dataValidation type="list" allowBlank="1" sqref="A12:A36">
      <formula1>"P,D,C,A"</formula1>
    </dataValidation>
  </dataValidations>
  <drawing r:id="rId1"/>
</worksheet>
</file>